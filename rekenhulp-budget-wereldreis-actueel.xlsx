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  <sheet state="visible" name="Planning simpel" sheetId="2" r:id="rId6"/>
    <sheet state="visible" name="Accomodatie" sheetId="3" r:id="rId7"/>
    <sheet state="visible" name="Verzekeringen" sheetId="4" r:id="rId8"/>
    <sheet state="visible" name="Excursies en activiteien" sheetId="5" r:id="rId9"/>
    <sheet state="visible" name="Vluchten en vervoer" sheetId="6" r:id="rId10"/>
    <sheet state="visible" name="To Do" sheetId="7" r:id="rId11"/>
    <sheet state="visible" name="Noodnummers" sheetId="8" r:id="rId12"/>
    <sheet state="visible" name="Paklijst" sheetId="9" r:id="rId13"/>
    <sheet state="visible" name="Dagplanning - USA" sheetId="10" r:id="rId14"/>
    <sheet state="visible" name="Dagplanning - Fiji" sheetId="11" r:id="rId15"/>
    <sheet state="visible" name="Dagplanning - Brisbane EO" sheetId="12" r:id="rId16"/>
    <sheet state="visible" name="Dagplanning - FNQ" sheetId="13" r:id="rId17"/>
    <sheet state="visible" name="Dagplanning - Sydney - mt Maced" sheetId="14" r:id="rId18"/>
    <sheet state="visible" name="Dagplanning - Nieuw Zeeland" sheetId="15" r:id="rId19"/>
    <sheet state="visible" name="Dagplanning - Singapore" sheetId="16" r:id="rId20"/>
    <sheet state="visible" name="Dagplanning - Thailand en Qatar" sheetId="17" r:id="rId21"/>
    <sheet state="visible" name="Dagplanning - Tanzania" sheetId="18" r:id="rId22"/>
  </sheets>
  <definedNames>
    <definedName hidden="1" localSheetId="14" name="_xlnm._FilterDatabase">'Dagplanning - Nieuw Zeeland'!$A$1:$G$49</definedName>
  </definedNames>
  <calcPr/>
</workbook>
</file>

<file path=xl/sharedStrings.xml><?xml version="1.0" encoding="utf-8"?>
<sst xmlns="http://schemas.openxmlformats.org/spreadsheetml/2006/main" count="3543" uniqueCount="1564">
  <si>
    <t>Accomodatie</t>
  </si>
  <si>
    <t>Totale kosten</t>
  </si>
  <si>
    <t>Kosten verzekeringen</t>
  </si>
  <si>
    <t>Datum</t>
  </si>
  <si>
    <t>aantal
dagen</t>
  </si>
  <si>
    <t>Locatie</t>
  </si>
  <si>
    <t>Vervoer</t>
  </si>
  <si>
    <t>Aankomst datum</t>
  </si>
  <si>
    <t>KM</t>
  </si>
  <si>
    <t>Vertrek datum</t>
  </si>
  <si>
    <t>Type verzekering</t>
  </si>
  <si>
    <t>duur</t>
  </si>
  <si>
    <t>Naam Accomodatie</t>
  </si>
  <si>
    <t>Kosten per maand</t>
  </si>
  <si>
    <t>Kosten</t>
  </si>
  <si>
    <t>Reserveringsnummer</t>
  </si>
  <si>
    <t>verzekeraar</t>
  </si>
  <si>
    <t>Geboekt</t>
  </si>
  <si>
    <t>inchecken (tijd)</t>
  </si>
  <si>
    <t xml:space="preserve">uitchecken (tijd) </t>
  </si>
  <si>
    <t>Polis nummer</t>
  </si>
  <si>
    <t xml:space="preserve">Ontbijt </t>
  </si>
  <si>
    <t>CZ basis + aanvullend: alle medische zorg</t>
  </si>
  <si>
    <t>Annuleren</t>
  </si>
  <si>
    <t>Telefoonnummer</t>
  </si>
  <si>
    <t>Betaald</t>
  </si>
  <si>
    <t>Geboekt 
bij</t>
  </si>
  <si>
    <t>Ontbijt</t>
  </si>
  <si>
    <t>Adres</t>
  </si>
  <si>
    <t>Keuken</t>
  </si>
  <si>
    <t>Zwembad</t>
  </si>
  <si>
    <t>CZ</t>
  </si>
  <si>
    <t>Naam</t>
  </si>
  <si>
    <t>Kosten van thuis</t>
  </si>
  <si>
    <t>Bas 484990306
Maartje 484990276
Liz 484990284
Isa 484990292</t>
  </si>
  <si>
    <t>Special ISIS Super + Basis: de volwaardige reisverzekering</t>
  </si>
  <si>
    <t>Special isis</t>
  </si>
  <si>
    <t>Kosten vooraf</t>
  </si>
  <si>
    <t>Zaterdag</t>
  </si>
  <si>
    <t>Holliday inn golden gateway</t>
  </si>
  <si>
    <t>✈️ Aankomst San Francisco 14:00</t>
  </si>
  <si>
    <t>OOM annuleringsverzekering: annulering vóór vertrek</t>
  </si>
  <si>
    <t>OOM</t>
  </si>
  <si>
    <t>Ja</t>
  </si>
  <si>
    <t>TIB7122782</t>
  </si>
  <si>
    <t>+1 415 441 4000</t>
  </si>
  <si>
    <t>OOM Achtergebleven Woonhuis: opstal en inboedel</t>
  </si>
  <si>
    <t>1500 Van Ness Ave, San Francisco, CA 94109, Verenigde Staten</t>
  </si>
  <si>
    <t>Kosten op reis</t>
  </si>
  <si>
    <t>Colton Inn</t>
  </si>
  <si>
    <t>CICA05091266</t>
  </si>
  <si>
    <t>Booking</t>
  </si>
  <si>
    <t>ja</t>
  </si>
  <si>
    <t>Nee</t>
  </si>
  <si>
    <t>+1 831 649 6500</t>
  </si>
  <si>
    <t xml:space="preserve"> 707 Pacific Street | Monterey, CA 93940</t>
  </si>
  <si>
    <t>Inkomsten</t>
  </si>
  <si>
    <t>Quality Inn near Hearst Castle (San Simeon)</t>
  </si>
  <si>
    <t>afzonderlijke huurauto-/camperverzekeringen</t>
  </si>
  <si>
    <t>Zondag</t>
  </si>
  <si>
    <t>San Francisco</t>
  </si>
  <si>
    <t>meerdere</t>
  </si>
  <si>
    <t>Per maand</t>
  </si>
  <si>
    <t>+1 805 927 3998</t>
  </si>
  <si>
    <t>9260 Castillo Drive, San Simeon, CA 93452, US</t>
  </si>
  <si>
    <t>Eenmalig</t>
  </si>
  <si>
    <t>Flying Flags RV Resort &amp; Campground</t>
  </si>
  <si>
    <t>Maandag</t>
  </si>
  <si>
    <t>+1 805 688 3716</t>
  </si>
  <si>
    <t>180 Avenue of Flags, Buellton, 93427, Verenigde Staten</t>
  </si>
  <si>
    <t>Airbnb Marina del Rey</t>
  </si>
  <si>
    <t>HM23KJD38X</t>
  </si>
  <si>
    <t>totaal</t>
  </si>
  <si>
    <t>Niet openbaar</t>
  </si>
  <si>
    <t>dinsdag</t>
  </si>
  <si>
    <t>Zorgverzekering</t>
  </si>
  <si>
    <t>14000 Palawan Way, Marina del Rey, CA 90292, United States</t>
  </si>
  <si>
    <t>San Francisco → Monterey / Carmel</t>
  </si>
  <si>
    <t>Embassy Suites by Hilton Anaheim South</t>
  </si>
  <si>
    <t>Auto</t>
  </si>
  <si>
    <t>Uitrusting</t>
  </si>
  <si>
    <t>Direct</t>
  </si>
  <si>
    <t>+1 714 539 3300</t>
  </si>
  <si>
    <t>Maaltijden en boodschappen</t>
  </si>
  <si>
    <t>11767 Harbor Boulevard, Garden Grove, Anaheim, CA 92840, Verenigde Staten</t>
  </si>
  <si>
    <t>Aantal dagen</t>
  </si>
  <si>
    <t>https://www.coltoninn.com/</t>
  </si>
  <si>
    <t>Best Western Plus A Wayfarer's Inn &amp; Suites (Kingman)</t>
  </si>
  <si>
    <t>Dagbudget</t>
  </si>
  <si>
    <t>Totaal per land</t>
  </si>
  <si>
    <t>Salaris</t>
  </si>
  <si>
    <t>+1 928 753 6271</t>
  </si>
  <si>
    <t>2815 East Andy Devine Avenue, Kingman, AZ 86401, Verenigde Staten</t>
  </si>
  <si>
    <t>Grand Canyon Hotel &amp; Suites</t>
  </si>
  <si>
    <t>Woonhuis / reis verzekering</t>
  </si>
  <si>
    <t>+1 928 638 3000</t>
  </si>
  <si>
    <t>226 Highway 64, Tusayan, AZ 86023, Verenigde Staten</t>
  </si>
  <si>
    <t>woensdag</t>
  </si>
  <si>
    <t>Monterey → San Simeon (Big Sur route)</t>
  </si>
  <si>
    <t>Hampton Inn Kayenta Monument Valley</t>
  </si>
  <si>
    <t>Vaccinaties</t>
  </si>
  <si>
    <t>+1 928 697 3170</t>
  </si>
  <si>
    <t>Australië</t>
  </si>
  <si>
    <t>US Highway 160, Kayenta, AZ 86033, Verenigde Staten</t>
  </si>
  <si>
    <t>The View Campground/Hotel (Monument Valley)</t>
  </si>
  <si>
    <t>https://www.choicehotels.com/en-uk/california/san-simeon/quality-inn-hotels</t>
  </si>
  <si>
    <t>128167 (online: TVCUT05056231)</t>
  </si>
  <si>
    <t>+1 435 727 5555</t>
  </si>
  <si>
    <t>PO Box 360457, Monument Valley, UT 84536 (geen straatadres vermeld)</t>
  </si>
  <si>
    <t>Holiday Inn Express &amp; Suites Kanab</t>
  </si>
  <si>
    <t>donderdag</t>
  </si>
  <si>
    <t>San Simeon → Santa Barbara</t>
  </si>
  <si>
    <t>Salaris Maartje</t>
  </si>
  <si>
    <t>+1 435 644 3100</t>
  </si>
  <si>
    <t>217 South 100 East, Kanab, UT 84741, United States</t>
  </si>
  <si>
    <t>Bryce Vistas (Claron Suite)</t>
  </si>
  <si>
    <t>+1 435 383 2900</t>
  </si>
  <si>
    <t xml:space="preserve">Flying Flags RV Resort &amp; Campground </t>
  </si>
  <si>
    <t>Niet vermeld in e-mail (Bryce Vistas, Zuid-Utah)</t>
  </si>
  <si>
    <t xml:space="preserve">Pensioenpremie Bas </t>
  </si>
  <si>
    <t>vrijdag</t>
  </si>
  <si>
    <t xml:space="preserve">Visa </t>
  </si>
  <si>
    <t>Zion Park Motel</t>
  </si>
  <si>
    <t>Santa Barbara → Los Angeles</t>
  </si>
  <si>
    <t>Nieuw-Zeeland</t>
  </si>
  <si>
    <t>+1 435 772 3251</t>
  </si>
  <si>
    <t>865 Zion Park Blvd, Springdale, 84767, Verenigde Staten</t>
  </si>
  <si>
    <t>VRBO</t>
  </si>
  <si>
    <t>The Signature at MGM Grand (Las Vegas, Airbnb)</t>
  </si>
  <si>
    <t>Salaris Bas</t>
  </si>
  <si>
    <t xml:space="preserve">Marina del Rey, 13950 Panay Way, Marina del Rey, CA, 90292 Verenigde Staten </t>
  </si>
  <si>
    <t>HM4F4WTDMK</t>
  </si>
  <si>
    <t>zaterdag</t>
  </si>
  <si>
    <t>+1 702 797 6000</t>
  </si>
  <si>
    <t>Los Angeles - Venice beach - Venice beach</t>
  </si>
  <si>
    <t>Onvoorzien</t>
  </si>
  <si>
    <t>Tower C, 125 East Harmon Avenue 17-818, Las Vegas, NV 89109, United States</t>
  </si>
  <si>
    <t>Juniper Springs Resort (Mammoth Lakes)</t>
  </si>
  <si>
    <t xml:space="preserve">Kosten excursies en activiteiten </t>
  </si>
  <si>
    <t>Pensioenpremie Maartje</t>
  </si>
  <si>
    <t>Annulerings verzekering (extra)</t>
  </si>
  <si>
    <t>Fiji</t>
  </si>
  <si>
    <t>+1 760 934 1102</t>
  </si>
  <si>
    <t>4000 Meridian Blvd, Mammoth Lakes, CA 93546, Verenigde Staten</t>
  </si>
  <si>
    <t>Website</t>
  </si>
  <si>
    <t>Amerika</t>
  </si>
  <si>
    <t>Yosemite View Lodge</t>
  </si>
  <si>
    <t>Totaal benodigd</t>
  </si>
  <si>
    <t>zondag</t>
  </si>
  <si>
    <t>Los Angeles - Venice beach</t>
  </si>
  <si>
    <t>+1 209 379 2681</t>
  </si>
  <si>
    <t>11136 Highway 140, El Portal, CA 95318, Verenigde Staten</t>
  </si>
  <si>
    <t>Hypotheek</t>
  </si>
  <si>
    <t>America the Beautiful pas</t>
  </si>
  <si>
    <t>Thailand &amp; SIN &amp; Doha</t>
  </si>
  <si>
    <t>maandag</t>
  </si>
  <si>
    <t>Nob Hill Motor Inn (San Francisco)</t>
  </si>
  <si>
    <t>Los Angeles - Anaheim</t>
  </si>
  <si>
    <t>https://www.nps.gov/planyourvisit/passes.htm</t>
  </si>
  <si>
    <t>Totaal</t>
  </si>
  <si>
    <t>+1 415 775 8160</t>
  </si>
  <si>
    <t>1630 Pacific Avenue, Russian Hill, San Francisco, CA 94109, Verenigde Staten</t>
  </si>
  <si>
    <t>Plantation resort Fiji</t>
  </si>
  <si>
    <t>BGHU</t>
  </si>
  <si>
    <t xml:space="preserve">Fietshuur San fransisco </t>
  </si>
  <si>
    <t>USA</t>
  </si>
  <si>
    <t>+679 673 4777</t>
  </si>
  <si>
    <t>Malolo Lailai, Nadi, Fiji</t>
  </si>
  <si>
    <t>Los Angeles → Joshua Tree → Kingman</t>
  </si>
  <si>
    <t>2715 Hyde Street, San Francisco, CA 94109, Verenigde Staten</t>
  </si>
  <si>
    <t>Overige</t>
  </si>
  <si>
    <t>The Palms Denarau</t>
  </si>
  <si>
    <t>https://www.blazingsaddles.com/san-francisco/locations</t>
  </si>
  <si>
    <t>Totaal al betaald</t>
  </si>
  <si>
    <t>Best Western Plus A Wayfarer's Inn &amp; Suites</t>
  </si>
  <si>
    <t>+679 675 0104</t>
  </si>
  <si>
    <t>Nuts</t>
  </si>
  <si>
    <t>Kingman → Grand Canyon</t>
  </si>
  <si>
    <t>P O Box PD120, Port Denarau, Nadi, Denarau, Fiji</t>
  </si>
  <si>
    <t>Bodie Ghost Town</t>
  </si>
  <si>
    <t>Tanzania (inclucsief)</t>
  </si>
  <si>
    <t>Kuata Island</t>
  </si>
  <si>
    <t>Highway 270, Bridgeport, CA 93517, Verenigde Staten</t>
  </si>
  <si>
    <t>https://www.parks.ca.gov/bodie</t>
  </si>
  <si>
    <t>Grand Canyon → Kayenta</t>
  </si>
  <si>
    <t>+679 895 2090</t>
  </si>
  <si>
    <t>Hypotheek teruggave</t>
  </si>
  <si>
    <t>Kuata island</t>
  </si>
  <si>
    <t>The Sphere Experience Las Vegas</t>
  </si>
  <si>
    <t>Vluchten</t>
  </si>
  <si>
    <t>Tokatoka Resort Hotel</t>
  </si>
  <si>
    <t>255 Sands Avenue, Las Vegas, NV 89169, Verenigde Staten</t>
  </si>
  <si>
    <t>https://www.thesphere.com/shows/the-sphere-experience</t>
  </si>
  <si>
    <t>tv/internet/telefoon</t>
  </si>
  <si>
    <t>+679 672 0222</t>
  </si>
  <si>
    <t>Nadi Airport, 9305 Nadi, Fiji</t>
  </si>
  <si>
    <t>Bluff (Monument Valley)</t>
  </si>
  <si>
    <t>Belasting</t>
  </si>
  <si>
    <t>Brisbane One Apartments by CLLIX</t>
  </si>
  <si>
    <t>Antelope Canyon X general tour</t>
  </si>
  <si>
    <t>Milepost 308, Highway AZ-98, Page, AZ 86040, Verenigde Staten</t>
  </si>
  <si>
    <t>+61 7 3255 0889</t>
  </si>
  <si>
    <t>https://www.antelopecanyon-x.com/canyon-tours/antelope-canyon-x-hiking-tour/</t>
  </si>
  <si>
    <t>The View Hotel</t>
  </si>
  <si>
    <t>1 Cordelia Street, South Brisbane, 4101 Brisbane, Australië</t>
  </si>
  <si>
    <t>Broken Head Nature Cabins</t>
  </si>
  <si>
    <t>HMRBDPZKYE</t>
  </si>
  <si>
    <t>Bluff (Monument Valley) → Page → Kanab</t>
  </si>
  <si>
    <t>Monument Valley</t>
  </si>
  <si>
    <t>1 Bundaleer Road, Broken Head, NSW 2481</t>
  </si>
  <si>
    <t>levens verzekering</t>
  </si>
  <si>
    <t>Indian Route 42, Oljato-Monument Valley, AZ 84536, Verenigde Staten</t>
  </si>
  <si>
    <t>Rosella's On Springbrook</t>
  </si>
  <si>
    <t>https://navajonationparks.org/navajo-tribal-parks/monument-valley/</t>
  </si>
  <si>
    <t>Kanab → Bryce Canyon NP</t>
  </si>
  <si>
    <t>+61 427 682 856</t>
  </si>
  <si>
    <t>8 Canyon Parade, 4213 Springbrook, Australië</t>
  </si>
  <si>
    <t>Woning in Rainbow Beach</t>
  </si>
  <si>
    <t>Kinderbijslag</t>
  </si>
  <si>
    <t>HMD4TRTHAY</t>
  </si>
  <si>
    <t>Disney anaheim</t>
  </si>
  <si>
    <t>Excursies</t>
  </si>
  <si>
    <t>1313 Disneyland Drive, Anaheim, CA 92802, Verenigde Staten</t>
  </si>
  <si>
    <t>https://disneyland.disney.go.com/</t>
  </si>
  <si>
    <t>https://brycevistas.com/</t>
  </si>
  <si>
    <t>diverse</t>
  </si>
  <si>
    <t>Vliegtickets</t>
  </si>
  <si>
    <t>Santa Monica Pier</t>
  </si>
  <si>
    <t>Rainbow Shores Drive 48/5, Rainbow Beach, Queensland 4581, Australië</t>
  </si>
  <si>
    <t>200 Santa Monica Pier, Santa Monica, CA 90401, Verenigde Staten</t>
  </si>
  <si>
    <t>https://www.santamonicapier.org/</t>
  </si>
  <si>
    <t xml:space="preserve">Myuna Holiday Apartments </t>
  </si>
  <si>
    <t>Bekostiging reis</t>
  </si>
  <si>
    <t>Auto huur</t>
  </si>
  <si>
    <t>+61 7 5447 5588</t>
  </si>
  <si>
    <t>19 Katharina Street, 4567 Noosa Heads, Australië</t>
  </si>
  <si>
    <t>Blackwattle Farm (Tall Gum Tiny House, Glass House Mountains)</t>
  </si>
  <si>
    <t>Bryce Canyon → Zion NP</t>
  </si>
  <si>
    <t xml:space="preserve">Salaris </t>
  </si>
  <si>
    <t>ecotrax</t>
  </si>
  <si>
    <t>+61 408 536 815</t>
  </si>
  <si>
    <t>123 Old Peachester Road, Beerwah, Queensland, Australia</t>
  </si>
  <si>
    <t>Cuvu Back Road, Cuvu, Fiji</t>
  </si>
  <si>
    <t>https://www.ecotrax.com.fj/location</t>
  </si>
  <si>
    <t>Opslagbox voor spullen</t>
  </si>
  <si>
    <t>Overig vervoer</t>
  </si>
  <si>
    <t>Airbnb Port Douglas - Reef Nest</t>
  </si>
  <si>
    <t>HMB3YMXBCS</t>
  </si>
  <si>
    <t>Uit eten extra</t>
  </si>
  <si>
    <t>Shark dive kuata island</t>
  </si>
  <si>
    <t>19-37 Saint Crispins Avenue Unit 28, Port Douglas, QLD 4877, Australia</t>
  </si>
  <si>
    <t>https://www.barefootsharkencounters.com/the-awakening-shark-dive-fiji</t>
  </si>
  <si>
    <t>Cape Trib Beach House</t>
  </si>
  <si>
    <t>https://therivatzion.com/</t>
  </si>
  <si>
    <t>Spaarrekening Wereldreis</t>
  </si>
  <si>
    <t>+61 7 4098 0030</t>
  </si>
  <si>
    <t xml:space="preserve">Totaal  en gemiddelde </t>
  </si>
  <si>
    <t>7 Rykers Road, 4873 Cape Tribulation, Australië</t>
  </si>
  <si>
    <t>Australie</t>
  </si>
  <si>
    <t>Chambers Wildlife Rainforest Lodges (Tablelands)</t>
  </si>
  <si>
    <t>Zion NP</t>
  </si>
  <si>
    <t>Australian Zoo</t>
  </si>
  <si>
    <t>+61 7 4095 3754</t>
  </si>
  <si>
    <t>Eacham Close, 4884 Lake Eacham, Australië</t>
  </si>
  <si>
    <t>1638 Steve Irwin Way, Beerwah QLD 4519, Australië</t>
  </si>
  <si>
    <t>https://australiazoo.com.au/</t>
  </si>
  <si>
    <t xml:space="preserve">Huurinkomsten </t>
  </si>
  <si>
    <t>Cairns Colonial Club Resort</t>
  </si>
  <si>
    <t>+61 7 4053 8800</t>
  </si>
  <si>
    <t>Noosa Everglades SELF GUIDED Kayak</t>
  </si>
  <si>
    <t>18-26 Cannon St, Manunda QLD 4870, Australië</t>
  </si>
  <si>
    <t>Airbnb Sydney - Cremorne Point</t>
  </si>
  <si>
    <t>204 Lake Flat Road, Elanda Point National Park Canoe Launch Area, Boreen Point QLD 4565, Australië</t>
  </si>
  <si>
    <t>https://www.kanukapersaustralia.com/contact/meeting-place/</t>
  </si>
  <si>
    <t>HMPQJZ93WF</t>
  </si>
  <si>
    <t>Vakantie spraarrekening</t>
  </si>
  <si>
    <t>5 Milson Rd, Cremorne Point NSW 2090, Australia</t>
  </si>
  <si>
    <t>Noosa Dolphin Kayak Tour</t>
  </si>
  <si>
    <t>Holiday Haven Bendalong (Bayview)</t>
  </si>
  <si>
    <t>Benzine (10.000 km)</t>
  </si>
  <si>
    <t>60 Noosa Drive, Noosa Heads QLD 4567, Australië</t>
  </si>
  <si>
    <t>https://www.epicoceanadventures.com.au/dolphin-view-sea-kayak-tour/</t>
  </si>
  <si>
    <t>kosten cabin/hotel</t>
  </si>
  <si>
    <t>Zion NP → Las Vegas</t>
  </si>
  <si>
    <t>+61 2 4444 8860</t>
  </si>
  <si>
    <t>1 Waratah Street, Bendalong, New South Wales 2539, Australia</t>
  </si>
  <si>
    <t>Airbnb</t>
  </si>
  <si>
    <t>Discovery Parks - Narooma Beach</t>
  </si>
  <si>
    <t>Huur inkomsten totaal</t>
  </si>
  <si>
    <t>#J-5894241</t>
  </si>
  <si>
    <t>MGM Grand Tower C</t>
  </si>
  <si>
    <t>Waterfall route</t>
  </si>
  <si>
    <t>Las Vegas</t>
  </si>
  <si>
    <t>+61 2 4402 3247</t>
  </si>
  <si>
    <t>Niet vermeld in e-mail (park: Narooma, NSW)</t>
  </si>
  <si>
    <t>https://tropicalnorthqueensland.org.au/listing/itinerary/waterfall-circuit/</t>
  </si>
  <si>
    <t>Discovery Parks - Eden</t>
  </si>
  <si>
    <t>#J-5894300</t>
  </si>
  <si>
    <t>+61 2 6496 1572</t>
  </si>
  <si>
    <t>731 Princes Hwy, Boydtown NSW 2551, Australië</t>
  </si>
  <si>
    <t xml:space="preserve">Crater lakes </t>
  </si>
  <si>
    <t>Las Vegas → Mammoth Lakes</t>
  </si>
  <si>
    <t>Lake Eacham Road, Lake Eacham QLD 4884</t>
  </si>
  <si>
    <t>BIG4 Traralgon Park Lane Holiday Park</t>
  </si>
  <si>
    <t>https://parks.qld.gov.au/parks/crater-lakes</t>
  </si>
  <si>
    <t>Expedia</t>
  </si>
  <si>
    <t>+61 3 5174 6749</t>
  </si>
  <si>
    <t>Juniper springs</t>
  </si>
  <si>
    <t>5353 Princes Highway, 3844 Traralgon, Australië</t>
  </si>
  <si>
    <t xml:space="preserve">Baramundi fishing </t>
  </si>
  <si>
    <t>Mammoth Lakes</t>
  </si>
  <si>
    <t>Excursies (gepland)</t>
  </si>
  <si>
    <t>Wilsons Prom Accommodation - Tidal River Cabins</t>
  </si>
  <si>
    <t>Lot 3, Vixies Road, Wonga Beach QLD 4873, Australië</t>
  </si>
  <si>
    <t>https://www.hookabarra.com/</t>
  </si>
  <si>
    <t>+61 3 8427 2122</t>
  </si>
  <si>
    <t>Tidal River, Wilsons Promontory National Park, VIC (exact adres niet vermeld)</t>
  </si>
  <si>
    <t>Verschil</t>
  </si>
  <si>
    <t>Low iles snorkeling</t>
  </si>
  <si>
    <t>Warburton Holiday Park (Riverside Two Bedroom Ensuite Cabin)</t>
  </si>
  <si>
    <t>Crystalbrook Marina, 44 Wharf Street, Port Douglas QLD 4877, Australië</t>
  </si>
  <si>
    <t>+61 3 5966 2277</t>
  </si>
  <si>
    <t>https://wavedancerlowisles.com/</t>
  </si>
  <si>
    <t>Mammoth Lakes → Yosemite NP</t>
  </si>
  <si>
    <t>30 Woods Point Rd, Warburton VIC 3799, Australia</t>
  </si>
  <si>
    <t>Excursies (niet gepland)</t>
  </si>
  <si>
    <t>Bimbi Park</t>
  </si>
  <si>
    <t>Wildlife habitat</t>
  </si>
  <si>
    <t>+61 3 5237 9246</t>
  </si>
  <si>
    <t>90 Manna Gum Drive, VIC 3233, Australia</t>
  </si>
  <si>
    <t>1 Port Douglas Road, Port Douglas QLD 4877, Australië</t>
  </si>
  <si>
    <t>Totaal excursies</t>
  </si>
  <si>
    <t>https://www.wildlifehabitat.com.au/</t>
  </si>
  <si>
    <t xml:space="preserve">Breaside </t>
  </si>
  <si>
    <t>Yosemite NP</t>
  </si>
  <si>
    <t xml:space="preserve">Beach horseback riding	</t>
  </si>
  <si>
    <t>+61 3 5426 1762</t>
  </si>
  <si>
    <t>47 Taylors Rd, Mount Macedon VIC 3441, Australië</t>
  </si>
  <si>
    <t>3812 Cape Tribulation Road, Cape Tribulation QLD 4873, Australië</t>
  </si>
  <si>
    <t>https://www.capetribhorserides.com.au/</t>
  </si>
  <si>
    <t>Airbnb Melbourne (Lonsdale St)</t>
  </si>
  <si>
    <t>Yosemite NP → San Francisco</t>
  </si>
  <si>
    <t>HMSQN94X8J</t>
  </si>
  <si>
    <t>Spaarrekening Wereldreis = huidig bedrag + maandelijkse inleg van €500</t>
  </si>
  <si>
    <t>Daintree Discovery Centre</t>
  </si>
  <si>
    <t>639 Lonsdale St, Melbourne VIC 3000, Australia</t>
  </si>
  <si>
    <t>Nob Hill Motor Inn</t>
  </si>
  <si>
    <t>24 Tulip Oak Road, Cow Bay QLD 4873, Australië</t>
  </si>
  <si>
    <t>Renatal in Christchurch</t>
  </si>
  <si>
    <t>https://www.discoverthedaintree.com/</t>
  </si>
  <si>
    <t>San Francisco ✈️ Vertrek 22:55</t>
  </si>
  <si>
    <t>Totaal per maand</t>
  </si>
  <si>
    <t>176 manchecter street 107,8011 Christchurch</t>
  </si>
  <si>
    <t>The Shearer's Quarters (Lake Tekapo)</t>
  </si>
  <si>
    <t>Mossman Gorge</t>
  </si>
  <si>
    <t>+64 21 273 3576</t>
  </si>
  <si>
    <t>Irishman Creek Station, 7999 Lake Tekapo, Nieuw-Zeeland</t>
  </si>
  <si>
    <t>212R Mossman Gorge Road, Mossman Gorge QLD 4873, Australië</t>
  </si>
  <si>
    <t>https://www.mossmangorge.com.au/</t>
  </si>
  <si>
    <t>Mt Cook Motels (B&amp;B pakket, Aoraki/Mount Cook)</t>
  </si>
  <si>
    <t>R184C2</t>
  </si>
  <si>
    <t>Vakantie spraarrekening = 16 maanden inleg (€500) vakantie spaarrekening</t>
  </si>
  <si>
    <t>+64 3 435 1809</t>
  </si>
  <si>
    <t>Mt Cook Lodge, Aoraki/Mount Cook Village, New Zealand</t>
  </si>
  <si>
    <t>kuranda butterfly sanctuary</t>
  </si>
  <si>
    <t>Volgende dag aankomst + 1 dag tijdverschil</t>
  </si>
  <si>
    <t>8 Rob Veivers Drive, Kuranda QLD 4881, Australië</t>
  </si>
  <si>
    <t>Century House B&amp;B flatlette (Moeraki/Oamaru)</t>
  </si>
  <si>
    <t>https://australianbutterflies.com/</t>
  </si>
  <si>
    <t>Aantal maanden op reis</t>
  </si>
  <si>
    <t>+64 3 434 1514</t>
  </si>
  <si>
    <t>114 Wansbeck Street, 9401 Oamaru, Nieuw-Zeeland</t>
  </si>
  <si>
    <t>WAGS boottocht</t>
  </si>
  <si>
    <t>Te Anau Lakeview Holiday Park &amp; Motels (Familiestudio)</t>
  </si>
  <si>
    <t>1 Spinnaker Close, Port Douglas QLD 4877, Australië</t>
  </si>
  <si>
    <t>https://www.portdouglasyachtclub.com.au/</t>
  </si>
  <si>
    <t>Nadi aankomst 05:00 (ochtend) Plantation</t>
  </si>
  <si>
    <t>kosten per dag</t>
  </si>
  <si>
    <t>+64 3 249 7457</t>
  </si>
  <si>
    <t>77 Te Anau - Manapouri Highway, 9640 Te Anau, Nieuw-Zeeland</t>
  </si>
  <si>
    <t>Hampshire Holiday Parks - Queenstown Lakeview (2 Bedroom Cabin)</t>
  </si>
  <si>
    <t>Totale kosten van thuis</t>
  </si>
  <si>
    <t>+64 3 442 7252</t>
  </si>
  <si>
    <t>Plantation resort</t>
  </si>
  <si>
    <t>4 Cemetery Road, Queenstown, Otago 9300</t>
  </si>
  <si>
    <t>Totale kosten vooraf</t>
  </si>
  <si>
    <t>Albert Town, Wānaka Townhouse - Toi Toi</t>
  </si>
  <si>
    <t>Australian Museum</t>
  </si>
  <si>
    <t>Totale kosten op reis</t>
  </si>
  <si>
    <t>19A Kidds Way, 9305 Albert Town, Nieuw-Zeeland</t>
  </si>
  <si>
    <t>Plantation</t>
  </si>
  <si>
    <t>Rainforest Retreat - Tuatara Cottages (Franz Josef)</t>
  </si>
  <si>
    <t>marTend97s69NzRa</t>
  </si>
  <si>
    <t>x</t>
  </si>
  <si>
    <t>+64 3 752 0220</t>
  </si>
  <si>
    <t>1u45</t>
  </si>
  <si>
    <t>46 Cron St, 7886 Franz Josef, New Zealand</t>
  </si>
  <si>
    <t>Punakaiki Beachfront Motels (Superior Studio)</t>
  </si>
  <si>
    <t>+64 3 731 1188</t>
  </si>
  <si>
    <t>Mabel Street, 7873 Punakaiki, Nieuw-Zeeland</t>
  </si>
  <si>
    <t>The Barn Cabins &amp; Camp (Abel Tasman)</t>
  </si>
  <si>
    <t>1 William Street, Sydney NSW 2010, Australië</t>
  </si>
  <si>
    <t>https://australian.museum/</t>
  </si>
  <si>
    <t>+64 3 527 8043</t>
  </si>
  <si>
    <t>14 Harvey Road, Marahau, Abel Tasman, Motueka, Tasman, New Zealand 7197</t>
  </si>
  <si>
    <t>Plantation / Port Denarau</t>
  </si>
  <si>
    <t>Collingwood Cottage (Collingwood/Pohara)</t>
  </si>
  <si>
    <t>40 Ruataniwha Drive, 7073 Collingwood, Nieuw-Zeeland</t>
  </si>
  <si>
    <t>The Palms Denarau Fiji</t>
  </si>
  <si>
    <t>Port Denarau</t>
  </si>
  <si>
    <t>Broadway Motel Picton (Family Apartment)</t>
  </si>
  <si>
    <t>Pylon Lookout &amp; Museum (harbour bridge)</t>
  </si>
  <si>
    <t>+64 3 573 6563</t>
  </si>
  <si>
    <t>113 High Street, Picton 7220, New Zealand</t>
  </si>
  <si>
    <t>Wellington - Self-contained garden apartment (Airbnb)</t>
  </si>
  <si>
    <t>Kuata (1/3)</t>
  </si>
  <si>
    <t>HMC2EDRC5F</t>
  </si>
  <si>
    <t>South-East Pylon, Sydney Harbour Bridge, Sydney NSW 2000, Australië</t>
  </si>
  <si>
    <t>https://www.bridgemuseum.com.au/</t>
  </si>
  <si>
    <t>2u15</t>
  </si>
  <si>
    <t>Wellington, Nieuw-Zeeland (geen straatadres vermeld)</t>
  </si>
  <si>
    <t>Mangorei Heights - New Plymouth</t>
  </si>
  <si>
    <t>https://www.barefootkuatafiji.com/</t>
  </si>
  <si>
    <t>+64 21 334 012</t>
  </si>
  <si>
    <t>1801 Mangorei Road, 4371 New Plymouth, Nieuw-Zeeland</t>
  </si>
  <si>
    <t>Macquarie’s Chair &amp; Royal Botanic Gardens</t>
  </si>
  <si>
    <t>Top 10 Waitomo</t>
  </si>
  <si>
    <t>Mrs Macquaries Road, Sydney NSW 2000, Australië</t>
  </si>
  <si>
    <t>https://www.botanicgardens.org.au/royal-botanic-garden-sydney</t>
  </si>
  <si>
    <t>+64 7 878 7639</t>
  </si>
  <si>
    <t xml:space="preserve">12 Waitomo Village Rd </t>
  </si>
  <si>
    <t>Taupo Debretts Spa Resort (Villa)</t>
  </si>
  <si>
    <t>Kuata (2/3)</t>
  </si>
  <si>
    <t>Sydney Harbour ferry dagtocht</t>
  </si>
  <si>
    <t>+64 7 378 8559</t>
  </si>
  <si>
    <t>76 Napier-Taupo Road, 3330 Taupo, Nieuw-Zeeland</t>
  </si>
  <si>
    <t>https://transportnsw.info/travel-info/ways-to-get-around/ferry</t>
  </si>
  <si>
    <t>Hideaway of Rotorua (Deluxe Familiekamer met Spabad)</t>
  </si>
  <si>
    <t>+64 7 357 4717</t>
  </si>
  <si>
    <t>436 Ngongotaha Road, 3015 Rotorua, Nieuw-Zeeland</t>
  </si>
  <si>
    <t>Hot Water Beach TOP 10 Holiday Park (Deluxe Family Villa)</t>
  </si>
  <si>
    <t>Pebbly beach</t>
  </si>
  <si>
    <t>Kuata (3/3)</t>
  </si>
  <si>
    <t>+64 7 866 3116</t>
  </si>
  <si>
    <t>790 Hot Water Beach Road, Whitianga 3591, NZ</t>
  </si>
  <si>
    <t>Pebbly Beach Road, Pebbly Beach NSW 2536, Australië</t>
  </si>
  <si>
    <t>https://www.nationalparks.nsw.gov.au/things-to-do/picnic-areas/pebbly-beach-picnic-area</t>
  </si>
  <si>
    <t>Grand Millennium Auckland</t>
  </si>
  <si>
    <t>+64 9 366 3000</t>
  </si>
  <si>
    <t>71 Mayoral Dr, Cnr Vincent St, 1010 Auckland, Nieuw-Zeeland</t>
  </si>
  <si>
    <t>Durras North Beach</t>
  </si>
  <si>
    <t>Einde middag Terug naar Denarau</t>
  </si>
  <si>
    <t>Grand Copthorne Waterfront Hotel</t>
  </si>
  <si>
    <t>2u45</t>
  </si>
  <si>
    <t>North Durras Road, Durras North NSW 2536, Australië</t>
  </si>
  <si>
    <t>https://www.nsw.gov.au/visiting-and-exploring-nsw/locations-and-attractions/north-durras-beach</t>
  </si>
  <si>
    <t>+65 6733 0880</t>
  </si>
  <si>
    <t>392 Havelock Road Singapore, 169663</t>
  </si>
  <si>
    <t>Tokatoka</t>
  </si>
  <si>
    <t>The Sands Khao Lak</t>
  </si>
  <si>
    <t>SKL-HP20462</t>
  </si>
  <si>
    <t xml:space="preserve">Fiji➔ Brisbane </t>
  </si>
  <si>
    <t>Warburton River Tubing</t>
  </si>
  <si>
    <t>+66 76 428 800</t>
  </si>
  <si>
    <t>10/18 Petchakasem Rd. Moo 7 Kukkak ,Takuapa ,Phang Nga 82190</t>
  </si>
  <si>
    <t>Warburton Cricket Club, 3455–3457 Warburton Highway, Warburton VIC 3799, Australië</t>
  </si>
  <si>
    <t>https://www.warburtonadventure.com.au/adventures/self-guided-river-tubing-adventure/</t>
  </si>
  <si>
    <t>Magical Mountain View Resort</t>
  </si>
  <si>
    <t>MMV-TH953</t>
  </si>
  <si>
    <t>+66 64 017 2362</t>
  </si>
  <si>
    <t>292/1 Moo 7, T. Khlongsong, A.Panom Surat Thani,</t>
  </si>
  <si>
    <t>Nationaal park Great Otway</t>
  </si>
  <si>
    <t xml:space="preserve">Sai Naam Lanta Residence </t>
  </si>
  <si>
    <t>Great Ocean Road, Lorne VIC 3232, Australië</t>
  </si>
  <si>
    <t>https://www.booking.com/hotel/au/brisbane-1.nl.html?label=gen173nr-10CAso6AFCEWVpbGVlbnMtdHJlZXMtaW5uSBxYBGipAYgBAZgBM7gBF8gBDNgBA-gBAfgBAYgCAagCAbgCw6uNzAbAAgHSAiQ0MWI3MmEyMS04MDI1LTRhYTUtYjVlZi1iOTc1Y2ViNWQ5ZDDYAgHgAgE&amp;sid=58385233827b3dc4126ecb2cfd20fd81&amp;aid=304142</t>
  </si>
  <si>
    <t>https://www.parks.vic.gov.au/places-to-see/parks/great-otway-national-park</t>
  </si>
  <si>
    <t>+66 75 684 188</t>
  </si>
  <si>
    <t xml:space="preserve">541/2 Moo 2, Saladan, Koh Lanta Krabi 81150 </t>
  </si>
  <si>
    <t>Poonsiri Resort Aonang</t>
  </si>
  <si>
    <t>Hanging Rock</t>
  </si>
  <si>
    <t>139 South Rock Road, Woodend VIC 3442, Australië</t>
  </si>
  <si>
    <t>https://www.mrsc.vic.gov.au/See-Do/Our-Region/Natural-Attractions/Hanging-Rock/Plan-Your-Visit</t>
  </si>
  <si>
    <t>+66 75 656 260</t>
  </si>
  <si>
    <t>211 Moo 4 T.Aonang, Muang, Krabi, 81000 Ao Nang Beach</t>
  </si>
  <si>
    <t>Baan Karon Resort</t>
  </si>
  <si>
    <t>Yarra ranges NT</t>
  </si>
  <si>
    <t>https://www.parks.vic.gov.au/places-to-see/parks/yarra-ranges-national-park</t>
  </si>
  <si>
    <t>+66 76 396 573</t>
  </si>
  <si>
    <t>213 Patak, Phuket, 83100 Karon Beach, Thailand</t>
  </si>
  <si>
    <t>Brisbane</t>
  </si>
  <si>
    <t>-</t>
  </si>
  <si>
    <t>ACMI</t>
  </si>
  <si>
    <t>Ilboru Safari Lodge</t>
  </si>
  <si>
    <t>Federation Square, Flinders Street, Melbourne VIC 3000, Australië</t>
  </si>
  <si>
    <t>https://www.acmi.net.au/</t>
  </si>
  <si>
    <t>Tarangire Safari Lodge</t>
  </si>
  <si>
    <t>Queen Victoria Market</t>
  </si>
  <si>
    <t>Queen Street, Melbourne VIC 3000, Australië</t>
  </si>
  <si>
    <t>https://qvm.com.au/visit-us/</t>
  </si>
  <si>
    <t>City Circle Tram</t>
  </si>
  <si>
    <t>Kon Tiki Migration Tented Camp Ndutu</t>
  </si>
  <si>
    <t>https://transport.vic.gov.au/route/15834/35-city-circle-free-tourist-tram</t>
  </si>
  <si>
    <t>Byron bay</t>
  </si>
  <si>
    <t>Luna Park St Kilda</t>
  </si>
  <si>
    <t>18 Lower Esplanade, St Kilda VIC 3182, Australië</t>
  </si>
  <si>
    <t>https://lunapark.com.au/</t>
  </si>
  <si>
    <t>https://www.airbnb.nl/rooms/54331136?photo_id=2420221961&amp;source_impression_id=p3_1769886957_P3qy0z1aoSnqd-qr&amp;previous_page_section_name=1000</t>
  </si>
  <si>
    <t>De laneways &amp; straatkunst</t>
  </si>
  <si>
    <t>20 Duckboard Pl, Melbourne VIC 3000, Australië</t>
  </si>
  <si>
    <t>https://www.komoot.com/nl-nl/tour/3192928549?share_token=aXxsZ4xh4f2cbHJ5mcjwqgwY9RyNIfZJCbUx8xh56YyKQ6AGd2&amp;ref=wtd&amp;t_s=referral&amp;t_cid=route_share&amp;t_ref_username=5138285305045</t>
  </si>
  <si>
    <t>Kubu Kubu Tented Lodge by Tanganyika Wilderness Camps</t>
  </si>
  <si>
    <t>Penguins at St Kilda Pier</t>
  </si>
  <si>
    <t>Ang'ata Ngorongoro Camp</t>
  </si>
  <si>
    <t>Pier Road, St Kilda VIC 3182, Australië</t>
  </si>
  <si>
    <t>https://www.penguins.org.au/attractions/st-kilda/</t>
  </si>
  <si>
    <t>Manyara Best View Lodge and Spa</t>
  </si>
  <si>
    <t>Nieuw Zeeland</t>
  </si>
  <si>
    <t>Lamington</t>
  </si>
  <si>
    <t>The Mount John Observatory (Tekapo)</t>
  </si>
  <si>
    <t>422 Godley Peaks Road, Lake Tekapo 7945, Nieuw-Zeeland</t>
  </si>
  <si>
    <t>https://www.darkskyproject.co.nz/experiences/the-summit-experience/</t>
  </si>
  <si>
    <t>https://www.booking.com/hotel/au/rosellas-on-springbrook.nl.html?label=gen173nr-10CAso6AFCEWVpbGVlbnMtdHJlZXMtaW5uSBxYBGipAYgBAZgBM7gBF8gBDNgBA-gBAfgBAYgCAagCAbgCw6uNzAbAAgHSAiQ0MWI3MmEyMS04MDI1LTRhYTUtYjVlZi1iOTc1Y2ViNWQ5ZDDYAgHgAgE&amp;sid=58385233827b3dc4126ecb2cfd20fd81&amp;aid=304142</t>
  </si>
  <si>
    <t>Milford Sound tours</t>
  </si>
  <si>
    <t>Milford Sound Visitor Terminal, Milford Sound 9679, Nieuw-Zeeland</t>
  </si>
  <si>
    <t>https://www.realnz.com/en/experiences/day-cruises/milford-sound-signature-cruise/</t>
  </si>
  <si>
    <t>Abel Tasman boten (3x)</t>
  </si>
  <si>
    <t>2 Kaiteriteri-Sandy Bay Road, Kaiteriteri, Nieuw-Zeeland</t>
  </si>
  <si>
    <t>https://www.abeltasmanseashuttles.co.nz/</t>
  </si>
  <si>
    <t>Rainbow beach</t>
  </si>
  <si>
    <t>Te Papa Museum</t>
  </si>
  <si>
    <t>55 Cable Street, Wellington 6011, Nieuw-Zeeland</t>
  </si>
  <si>
    <t>https://tepapa.govt.nz/</t>
  </si>
  <si>
    <t>Geothermisch Rotorua</t>
  </si>
  <si>
    <t>201 Waiotapu Loop Road, RD 3, Rotorua 3073, Nieuw-Zeeland</t>
  </si>
  <si>
    <t>https://www.waiotapu.co.nz/</t>
  </si>
  <si>
    <t xml:space="preserve">Cathedral Cove Kayak Tour
</t>
  </si>
  <si>
    <t>Noosa</t>
  </si>
  <si>
    <t>Hahei Beach car park, einde Hahei Beach Road, Hahei, Nieuw-Zeeland</t>
  </si>
  <si>
    <t>https://kayaktours.co.nz/</t>
  </si>
  <si>
    <t>Mitai Maori Villag</t>
  </si>
  <si>
    <t>https://www.booking.com/hotel/au/myuna-holiday-apartments.nl.html?label=gen173nr-10CAso6AFCEWVpbGVlbnMtdHJlZXMtaW5uSBxYBGipAYgBAZgBM7gBF8gBDNgBA-gBAfgBAYgCAagCAbgCw6uNzAbAAgHSAiQ0MWI3MmEyMS04MDI1LTRhYTUtYjVlZi1iOTc1Y2ViNWQ5ZDDYAgHgAgE&amp;sid=58385233827b3dc4126ecb2cfd20fd81&amp;aid=304142</t>
  </si>
  <si>
    <t>196 Fairy Springs Road, Rotorua 3015, Nieuw-Zeeland</t>
  </si>
  <si>
    <t>https://www.mitai.co.nz/</t>
  </si>
  <si>
    <t>Golden bay kayaks</t>
  </si>
  <si>
    <t>29 Cornwall Place, Tākaka, Nieuw-Zeeland</t>
  </si>
  <si>
    <t>https://www.goldenbaykayaks.co.nz/</t>
  </si>
  <si>
    <t>Te Waikoropupu Springs</t>
  </si>
  <si>
    <t>Pupu Springs Road, Tākaka 7183, Nieuw-Zeeland</t>
  </si>
  <si>
    <t>https://www.doc.govt.nz/parks-and-recreation/places-to-go/nelson-tasman/places/takaka-area/te-waikoropupu-springs/</t>
  </si>
  <si>
    <t>Hokitika Gorge</t>
  </si>
  <si>
    <t>Glass house mountains</t>
  </si>
  <si>
    <t>Whitcombe Valley Road, Hokitika 7881, Nieuw-Zeeland</t>
  </si>
  <si>
    <t>https://www.doc.govt.nz/parks-and-recreation/places-to-go/west-coast/places/hokitika-gorge-scenic-reserve/</t>
  </si>
  <si>
    <t>PUNAKAIKI CAVERN</t>
  </si>
  <si>
    <t>State Highway 6, Punakaiki, Nieuw-Zeeland</t>
  </si>
  <si>
    <t>https://www.doc.govt.nz/parks-and-recreation/places-to-go/west-coast/places/paparoa-national-park/things-to-do/tracks/punakaiki-cavern/</t>
  </si>
  <si>
    <t>https://www.blackwattlefarm.com.au/rooms</t>
  </si>
  <si>
    <t>Lake Mangamaho</t>
  </si>
  <si>
    <t>Lake Mangamahoe Road, New Plymouth, Nieuw-Zeeland</t>
  </si>
  <si>
    <t>https://www.npdc.govt.nz/leisure-and-culture/riding-and-walking/lake-mangamahoe/</t>
  </si>
  <si>
    <t>Blue Pools, Haast Pass, Wānaka</t>
  </si>
  <si>
    <t>Blue Pools car park, Haast Highway (SH6), Makarora, Nieuw-Zeeland</t>
  </si>
  <si>
    <t>https://www.doc.govt.nz/parks-and-recreation/places-to-go/otago/places/mount-aspiring-national-park/things-to-do/tracks/blue-pools-track/</t>
  </si>
  <si>
    <t>Tekapo springs</t>
  </si>
  <si>
    <t>Brisbane naar Cairns</t>
  </si>
  <si>
    <t>300 Lakeside Drive, Lake Tekapo 7945, Nieuw-Zeeland</t>
  </si>
  <si>
    <t>https://tekaposprings.co.nz/</t>
  </si>
  <si>
    <t>key summit track</t>
  </si>
  <si>
    <t>The Divide, Milford Road (SH94), Fiordland, Nieuw-Zeeland</t>
  </si>
  <si>
    <t>https://www.doc.govt.nz/parks-and-recreation/places-to-go/fiordland/places/fiordland-national-park/things-to-do/tracks/routeburn-track-key-summit-track/</t>
  </si>
  <si>
    <t>https://www.airbnb.nl/rooms/21600843?viralityEntryPoint=1&amp;s=76</t>
  </si>
  <si>
    <t>Thailand</t>
  </si>
  <si>
    <t>Railay Beach &amp; Phra Nang cave beach</t>
  </si>
  <si>
    <t>Port Douglas</t>
  </si>
  <si>
    <t>2R4Q+944, Stadt, Ao Nang, Mueang Krabi District, Krabi, Thailand</t>
  </si>
  <si>
    <t>https://www.tourismthailand.org/Attraction/railay-beach</t>
  </si>
  <si>
    <t>merald Pool &amp; Hot Springs (Krabi binnenland)</t>
  </si>
  <si>
    <t>Khlong Thom Nuea, Khlong Thom District, Krabi 81120, Thailand</t>
  </si>
  <si>
    <t>https://www.tourismthailand.org/Attraction/sa-morakot-emerald-pool</t>
  </si>
  <si>
    <t>Similian</t>
  </si>
  <si>
    <t>https://www.tourismthailand.org/Attraction/mu-ko-similan-national-park</t>
  </si>
  <si>
    <t>Tanzania</t>
  </si>
  <si>
    <t>Totaal atracties en excursies en NT parks</t>
  </si>
  <si>
    <t>Cape trip</t>
  </si>
  <si>
    <t>nee</t>
  </si>
  <si>
    <t>https://secure.booking.com/confirmation.nl.html?label=lgnl_crEUR_sf_fn_piPRkLMeRuNjOx_oiOF06AY3UAJRx_sctpa_pl_ta_neg_fi_tikwd-2471616913092_lp1010754_li_dec_dm_ag196401585027_ci23568827516&amp;sid=58385233827b3dc4126ecb2cfd20fd81&amp;aid=2421090&amp;auth_key=X7EBOVauwp1Qiynh&amp;source=mytrips</t>
  </si>
  <si>
    <t>Cape trip -&gt; tablelands</t>
  </si>
  <si>
    <t>https://chamberslodges.com.au/</t>
  </si>
  <si>
    <t>Cairns</t>
  </si>
  <si>
    <t>https://www.booking.com/hotel/au/cairns-colonial-club-resort.nl.html?label=lgnl_crEUR_sf_fn_piPRkLMeRuNjOx_oiOF06AY3UAJRx_sctpa_pl_ta_neg_fi_tikwd-2471616913092_lp1010754_li_dec_dm_ag196401585027_ci23568827516&amp;sid=58385233827b3dc4126ecb2cfd20fd81&amp;aid=2421090&amp;ucfs=1&amp;checkin=2026-11-17&amp;checkout=2026-11-18&amp;dest_id=-1612224&amp;dest_type=city&amp;group_adults=2&amp;no_rooms=1&amp;group_children=2&amp;age=7&amp;req_age=7&amp;age=9&amp;req_age=9&amp;nflt=price%3DEUR-min-130-1&amp;srpvid=202f59219a0a0a2a&amp;srepoch=1771764690&amp;matching_block_id=17948805_222659274_2_2_0_1152507&amp;atlas_src=sr_iw_title#_</t>
  </si>
  <si>
    <t xml:space="preserve">Cairns ➔ Sydney </t>
  </si>
  <si>
    <t>https://www.airbnb.nl/trips/v1/reservation-details/ro/RESERVATION2_CHECKIN/HMPQJZ93WF</t>
  </si>
  <si>
    <t>Sydney</t>
  </si>
  <si>
    <t>vliegtickets</t>
  </si>
  <si>
    <t>Sydney → Bendalong</t>
  </si>
  <si>
    <t>Vertrek tijd</t>
  </si>
  <si>
    <t>Van</t>
  </si>
  <si>
    <t>Naar</t>
  </si>
  <si>
    <t>Aankomst rijd</t>
  </si>
  <si>
    <t>https://holidayhaven.com.au/bendalong/</t>
  </si>
  <si>
    <t>Vlucht Nummer</t>
  </si>
  <si>
    <t>Stoelen</t>
  </si>
  <si>
    <t>Fase</t>
  </si>
  <si>
    <t>Taak</t>
  </si>
  <si>
    <t>Amsterdam</t>
  </si>
  <si>
    <t>Details/Notities</t>
  </si>
  <si>
    <t>Londen (Heathrow)</t>
  </si>
  <si>
    <t>Status</t>
  </si>
  <si>
    <t>Bendalong</t>
  </si>
  <si>
    <t>BA0445</t>
  </si>
  <si>
    <t>Nog niet gekozen</t>
  </si>
  <si>
    <t>school – eerste overleg</t>
  </si>
  <si>
    <t>BA0285</t>
  </si>
  <si>
    <t>Afspraak met school en leerplicht; globaal plan voor onderwijs en verslaglegging.</t>
  </si>
  <si>
    <t>30A, 30B, 31A, 31B</t>
  </si>
  <si>
    <t>Nadi (Fiji)</t>
  </si>
  <si>
    <t>Budget &amp; noodbuffer bepalen</t>
  </si>
  <si>
    <t>Groffe raming kosten per land + noodbuffer bepalen; aparte spaarrekening/nood-creditcard kiezen.</t>
  </si>
  <si>
    <t>FJ871</t>
  </si>
  <si>
    <t>12A, 12B, 11A, 11B</t>
  </si>
  <si>
    <t>Route &amp; verblijfsduur per land definitief maken</t>
  </si>
  <si>
    <t>Data-blokken per land (USA, Fiji, Australië, NZ, Thailand, Tanzania) vastleggen; nodig voor verzekeringen/visa.</t>
  </si>
  <si>
    <t>Hoofdvliegtickets boeken</t>
  </si>
  <si>
    <t>Intercontinentale vluchten (bijv. AMS–LA, LA–Fiji, Fiji–Aus, NZ–Thailand, Thailand–Tanzania, terug naar NL); kunnen ca. 11 maanden voor vertrek worden geboekt – nu oppakken.</t>
  </si>
  <si>
    <t>FJ921</t>
  </si>
  <si>
    <t>Paspoorten Aanvragen</t>
  </si>
  <si>
    <t>Aflopende data checken; moeten minstens 6 maanden geldig zijn na terugkomst; zo nodig verlengen plannen.</t>
  </si>
  <si>
    <t>VA783</t>
  </si>
  <si>
    <t>17A, 18A, 17B, 18B</t>
  </si>
  <si>
    <t>Langdurige reisverzekering uitzoeken</t>
  </si>
  <si>
    <t>Werelddekking, medische kosten, repatriëring, sport; polisvoorwaarden vergelijken.</t>
  </si>
  <si>
    <t>Annuleringsverzekering kiezen</t>
  </si>
  <si>
    <t>Let op samengestelde reis (veel losse vluchten/accommodaties); voorwaarden goed checken.</t>
  </si>
  <si>
    <t>VA1416</t>
  </si>
  <si>
    <t>Bendalong → Tuross Head</t>
  </si>
  <si>
    <t>Aansprakelijkheid &amp; rechtsbijstand checken</t>
  </si>
  <si>
    <t>Melbourne</t>
  </si>
  <si>
    <t>Werelddekking en gezinsdekking controleren; evt. upgraden.</t>
  </si>
  <si>
    <t>Christchurch</t>
  </si>
  <si>
    <t>Basiszorgverzekering checken</t>
  </si>
  <si>
    <t>JQ171</t>
  </si>
  <si>
    <t>Checken hoe doorlopende dekking werkt bij 5 maanden weg; BRP ingeschreven blijven.</t>
  </si>
  <si>
    <t>11A, 10A, 10B, 11B</t>
  </si>
  <si>
    <t>Auckland</t>
  </si>
  <si>
    <t>https://www.discoveryholidayparks.com.au/caravan-parks/new-south-wales/south-coast/narooma-beach?accommodationCode=NNRM-118-2384-RT&amp;propertyCode=NNRM&amp;arrive=2026-11-25&amp;depart=2026-11-27&amp;adults=2&amp;kids=2&amp;infants=0&amp;index=9&amp;sort=price-desc&amp;maxSearchResults=30</t>
  </si>
  <si>
    <t>Singapore</t>
  </si>
  <si>
    <t>Vluchten Australie Nieuw Zeeland boeken</t>
  </si>
  <si>
    <t>Welke vluchten binnen landen/ tussen landen al geboekt zijn en welke nog moeten; in sheet verwerken.</t>
  </si>
  <si>
    <t>SQ4284</t>
  </si>
  <si>
    <t>Phuket</t>
  </si>
  <si>
    <t>GGD-reisadvies plannen</t>
  </si>
  <si>
    <t>SQ732</t>
  </si>
  <si>
    <t xml:space="preserve">51A, 52A, 51B, 52B </t>
  </si>
  <si>
    <t>Afspraak maken voor vaccinatie-advies voor alle landen; tijdig plannen i.v.m. series.</t>
  </si>
  <si>
    <t>Tandarts- en huisartscontrole</t>
  </si>
  <si>
    <t>Controle voor vertrek; medicijnen op recept regelen + Engelstalige verklaring indien nodig.</t>
  </si>
  <si>
    <t>Doha</t>
  </si>
  <si>
    <t>Medische &amp; bankmachtigingen regelen</t>
  </si>
  <si>
    <t>Toestemmingen voor elkaar/thuisfront; bankvolmachten; kopieën ID’s en paspoorten.</t>
  </si>
  <si>
    <t>QR843</t>
  </si>
  <si>
    <t>27J, 27K, 28J, 28K</t>
  </si>
  <si>
    <t>Tuross Head</t>
  </si>
  <si>
    <t>Tanzania (Kilimanjaro)</t>
  </si>
  <si>
    <t>Vluchten Thailand en Tanzania  boeken</t>
  </si>
  <si>
    <t>QR1476</t>
  </si>
  <si>
    <t>Verzekeringen definitief afsluiten</t>
  </si>
  <si>
    <t>Kilimanjaro (Tanzania)</t>
  </si>
  <si>
    <t>Reis-, annulerings-, aansprakelijkheid en eventuele aanvullingen daadwerkelijk afsluiten.</t>
  </si>
  <si>
    <t>KL0569</t>
  </si>
  <si>
    <t>35A, 35B, 34C, 35C</t>
  </si>
  <si>
    <t>Vaccinaties starten/afronden</t>
  </si>
  <si>
    <t>Eerste prikken zetten; series op tijd afronden voor vertrek.</t>
  </si>
  <si>
    <t>Tuross Head → Eden</t>
  </si>
  <si>
    <t>Internationaal rijbewijs regelen</t>
  </si>
  <si>
    <t>Voor VS en Australië; bij ANWB aanvragen.</t>
  </si>
  <si>
    <t>Schoolafspraken vastleggen</t>
  </si>
  <si>
    <t>Zwarte-op-wit afspraken over leerdoelen, portfolio en terugkoppeling na de reis.</t>
  </si>
  <si>
    <t>https://www.discoveryholidayparks.com.au/caravan-parks/new-south-wales/south-coast/eden/superior-2-bedroom-cabin-sleeps-6?accommodationCode=NEDN-94-1574-RT&amp;propertyCode=NEDN&amp;arrive=2026-11-27&amp;depart=2026-11-28&amp;adults=2&amp;kids=2&amp;infants=0&amp;index=5</t>
  </si>
  <si>
    <t>Huurders woning zoeken</t>
  </si>
  <si>
    <t xml:space="preserve">Huisoppas/onderverhuur </t>
  </si>
  <si>
    <t>Onderwijsplan kinderen uitwerken</t>
  </si>
  <si>
    <t>Basisstructuur: dagelijks lezen, 3–4x per week rekenen/taal; materialen/apps selecteren.</t>
  </si>
  <si>
    <t>ESTA aanvragen (USA)</t>
  </si>
  <si>
    <t>Voor alle gezinsleden; geldig tot 2 jaar, maar ruim op tijd regelen.</t>
  </si>
  <si>
    <t>Visa/ETA Australië regelen</t>
  </si>
  <si>
    <t>eVisitor/ETA voor Australië; voorwaarden nalezen.</t>
  </si>
  <si>
    <t>Eden→ Traralgon</t>
  </si>
  <si>
    <t>NZeTA + IVL aanvragen (Nieuw-Zeeland)</t>
  </si>
  <si>
    <t>Online aanvraag; ook voor kinderen.</t>
  </si>
  <si>
    <t>Visa-check overige landen</t>
  </si>
  <si>
    <t>Thailand, Tanzania, Fiji: actuele eisen checken; noteren wat wanneer aangevraagd moet worden.</t>
  </si>
  <si>
    <t>https://www.booking.com/hotel/au/traralgon-park-lane-holiday-park.nl.html?label=gen173nr-10CAEoggI46AdIM1gEaKkBiAEBmAEzuAEHyAEM2AED6AEB-AEBiAIBqAIBuAKAsaPLBsACAdICJGExZTJmMzM5LTFmNWMtNDVkNy05YmVhLWU5NzZkZWFmMTdjY9gCAeACAQ&amp;aid=304142&amp;ucfs=1&amp;checkin=2026-11-28&amp;checkout=2026-11-29&amp;dest_id=-1587163&amp;dest_type=city&amp;group_adults=2&amp;no_rooms=1&amp;group_children=2&amp;age=7&amp;req_age=7&amp;age=9&amp;req_age=9&amp;srpvid=2b22592dcb840154&amp;srepoch=1769949687&amp;matching_block_id=113618714_370496383_4_0_0&amp;atlas_src=sr_iw_title#_</t>
  </si>
  <si>
    <t>Extra betaalmiddelen regelen</t>
  </si>
  <si>
    <t>Tweede creditcard per volwassene; limieten verhogen; reisnotitie bij bank.</t>
  </si>
  <si>
    <t>Wise/Revolut account instellen</t>
  </si>
  <si>
    <t>Rekening openen, kaarten bestellen, testtransactie doen; budgetten per valuta instellen.</t>
  </si>
  <si>
    <t>Thuisfront/contactpersoon aanwijzen</t>
  </si>
  <si>
    <t>Iemand die post, Belastingdienst en evt. school kan afhandelen.</t>
  </si>
  <si>
    <t>Overzicht vaste lasten maken</t>
  </si>
  <si>
    <t>Lijst van abonnementen, verzekeringen en vaste lasten voor thuis; beslissen wat pauzeerbaar is.</t>
  </si>
  <si>
    <t>Woningregeling uitwerken</t>
  </si>
  <si>
    <t>Huisoppas/onderverhuur regelen; afspraken vastleggen (sleutels, planten, onderhoud).</t>
  </si>
  <si>
    <t>Abonnementen &amp; energie optimaliseren</t>
  </si>
  <si>
    <t>Bepalen welke abonnementen tijdelijk stop of omlaag kunnen (sport, kranten, tv, etc.).</t>
  </si>
  <si>
    <t>Traralgon → Wilsons Promontory</t>
  </si>
  <si>
    <t>Auto stallen of door iemand laten gebruiken; verzekering checken</t>
  </si>
  <si>
    <t>Noodplan thuisfront</t>
  </si>
  <si>
    <t>Maken van eenvoudig draaiboek: bij schade, lekkage, storingen, belangrijke post.</t>
  </si>
  <si>
    <t>https://www.parks.vic.gov.au/places-to-see/parks/wilsons-promontory-national-park/where-to-stay/tidal-river-accommodation/tidal-river-huts</t>
  </si>
  <si>
    <t>Onderwijs praktisch maken</t>
  </si>
  <si>
    <t>Lesmateriaal kopen/printen; apps installeren; basis-weekrooster maken.</t>
  </si>
  <si>
    <t>Portfolio-structuur opzetten</t>
  </si>
  <si>
    <t>Folder/Drive/OneDrive map met submappen per maand/land; manier van verslaglegging afspreken.</t>
  </si>
  <si>
    <t>Telecom &amp; data plannen</t>
  </si>
  <si>
    <t>Keuze voor eSIM/roaming; per regio beste opties; automatische foto-back-up instellen.</t>
  </si>
  <si>
    <t>Reis-EHBO samenstellen</t>
  </si>
  <si>
    <t>Auto en camper huur</t>
  </si>
  <si>
    <t>Basis EHBO + specifieke medicatie voor kinderen; doseringen uitprinten en meenemen.</t>
  </si>
  <si>
    <t>Ophaal datum</t>
  </si>
  <si>
    <t>Wilsons Promontory</t>
  </si>
  <si>
    <t>Ophaal tijd</t>
  </si>
  <si>
    <t>Ophaal locatie</t>
  </si>
  <si>
    <t>Eerste en belangrijke overnachtingen controleren</t>
  </si>
  <si>
    <t>Inlever locatie</t>
  </si>
  <si>
    <t>inlever datum</t>
  </si>
  <si>
    <t>Checken of alle kritieke nachten (eerste nachten per continent, safari, eilanden) geboekt en bevestigd zijn.</t>
  </si>
  <si>
    <t>Inlever tijd</t>
  </si>
  <si>
    <t>Autohuur/camperhuur dubbelchecken</t>
  </si>
  <si>
    <t>Alle boekingen, verzekeringen en kinderzitjes controleren; vouchercodes en voorwaarden printen.</t>
  </si>
  <si>
    <t>Reserverings nummer</t>
  </si>
  <si>
    <t>Noodcontacten &amp; documenten in orde maken</t>
  </si>
  <si>
    <t>overige</t>
  </si>
  <si>
    <t>Overzicht verzekeringsnummers, alarmcentrale, ambassade, ICE-contacten; opslaan in telefoon en printen.</t>
  </si>
  <si>
    <t>Paklijst definitief maken</t>
  </si>
  <si>
    <t>Lijst per persoon (kleding, schoenen, schoolspullen); bepalen wat nog gekocht moet worden.</t>
  </si>
  <si>
    <t>Wilsons Promontory → Yarra Ranges</t>
  </si>
  <si>
    <t>Budget Howard Street 821 Howard Street San Fransisco 94103</t>
  </si>
  <si>
    <t>San Francisco Airport (780 McDonnell Road)</t>
  </si>
  <si>
    <t>BEGIN SEPT 2026</t>
  </si>
  <si>
    <t>Papiermap &amp; digitale map vullen</t>
  </si>
  <si>
    <t>Paspoorten, visa, polissen, medische verklaringen, vaccinatieboekjes, schoolafspraken, kopieën ID.</t>
  </si>
  <si>
    <t>Financiële laatste check</t>
  </si>
  <si>
    <t>https://hampshireholidays.com.au/parks/vic/warburton-holiday-park</t>
  </si>
  <si>
    <t>740.401.507</t>
  </si>
  <si>
    <t>Noodcash regelen, kaartlimieten checken; overzicht reisbudget per land in sheet klaarzetten.</t>
  </si>
  <si>
    <t>Toyota RAV4 of vergelijkbaar, Budget, tel. +1 415 957 9998</t>
  </si>
  <si>
    <t>Noodplan verlies/diefstal uitwerken</t>
  </si>
  <si>
    <t>Hertz Brisbane Downtown, 55 Charlotte St, Brisbane City QLD 4000, Australië</t>
  </si>
  <si>
    <t>Stappenplan bij verlies paspoort/telefoon/kaart; blokkeernummers noteren en delen met thuisfront.</t>
  </si>
  <si>
    <t>Hertz, Airport Dr, Brisbane Airport QLD 4007, Australië</t>
  </si>
  <si>
    <t>Offline voorbereiding</t>
  </si>
  <si>
    <t>Offline kaarten downloaden (Google Maps/Maps.me), belangrijke reserveringen en tickets offline opslaan.</t>
  </si>
  <si>
    <t>711.800.522</t>
  </si>
  <si>
    <t>Subaru Forester of vergelijkbaar, Hertz</t>
  </si>
  <si>
    <t>MID SEPT 2026</t>
  </si>
  <si>
    <t>Huis &amp; auto overdracht</t>
  </si>
  <si>
    <t>Cairns Luchthaven (CNS)</t>
  </si>
  <si>
    <t>Laatste overdracht huis/auto aan oppas of familie; meterstanden en contactgegevens doorgeven.</t>
  </si>
  <si>
    <t>School &amp; thuisfront informeren</t>
  </si>
  <si>
    <t xml:space="preserve">D012668926 </t>
  </si>
  <si>
    <t>Definitieve vertrekdatum delen; laatste contactmoment met school/leerplicht en contactpersoon thuisfront.</t>
  </si>
  <si>
    <t>MG HS of vergelijkbaar (Standaard SUV), Bargain Car Rentals</t>
  </si>
  <si>
    <t>Yarra Ranges</t>
  </si>
  <si>
    <t>Sixt Domain Carpark, 52 sir John Young Cresent, Sydney</t>
  </si>
  <si>
    <t>Shop 10, Southern Cross Station, Docklands VIC 3008</t>
  </si>
  <si>
    <t>Laatste pakdag</t>
  </si>
  <si>
    <t>Definitief inpakken, laatste boodschappen, weging bagage en check van alle documenten.</t>
  </si>
  <si>
    <t>9.731.393.908</t>
  </si>
  <si>
    <t>Mitsubishi Eclips of vergelijkbaar (Standaard SUV)</t>
  </si>
  <si>
    <t>19 SEPT 2026</t>
  </si>
  <si>
    <t>Christchurch airport, 170 Orchard Road Harewood</t>
  </si>
  <si>
    <t>Auckland downtown 60-64 The Strand Parnell</t>
  </si>
  <si>
    <t>U-509894</t>
  </si>
  <si>
    <t>Mitsubishi Outlander of vergelijkbaar (Premium SUV), Snap Rentals, borg NZD 2.000</t>
  </si>
  <si>
    <t>VERTREK</t>
  </si>
  <si>
    <t>Vertrek naar Los Angeles / start wereldreis.</t>
  </si>
  <si>
    <t>Yarra Ranges → Bimbi Park</t>
  </si>
  <si>
    <t>https://bimbipark.com.au/</t>
  </si>
  <si>
    <t>Bimbi Park → Mount Macedon</t>
  </si>
  <si>
    <t>Boten / bussen / trein / taxi</t>
  </si>
  <si>
    <t>Andrew</t>
  </si>
  <si>
    <t>reis datum vertrek</t>
  </si>
  <si>
    <t>Vertrek locatie</t>
  </si>
  <si>
    <t>Aankomst locatie</t>
  </si>
  <si>
    <t>aankomst datum</t>
  </si>
  <si>
    <t>aankomst tijd</t>
  </si>
  <si>
    <t>Mount Macedon</t>
  </si>
  <si>
    <t xml:space="preserve">Mount Macedon → Melbourne </t>
  </si>
  <si>
    <t>https://www.airbnb.nl/rooms/1576585362074394024?photo_id=2441452811&amp;source_impression_id=p3_1773059472_P3xjRZH-UHXNI_VK&amp;previous_page_section_name=1000</t>
  </si>
  <si>
    <t xml:space="preserve">Melbourne </t>
  </si>
  <si>
    <t>https://www.airbnb.nl/rooms/1576585362074394024?photo_id=2441452811&amp;source_impression_id=p3_1773059472_P3xjRZH-UHXNI_VK&amp;previous_page_section_name=1001</t>
  </si>
  <si>
    <t>https://www.airbnb.nl/rooms/1576585362074394024?photo_id=2441452811&amp;source_impression_id=p3_1773059472_P3xjRZH-UHXNI_VK&amp;previous_page_section_name=1002</t>
  </si>
  <si>
    <t>Melbourne - Christchurch</t>
  </si>
  <si>
    <t>https://www.booking.com/hotel/nz/inner-city-haven-location-location-location.nl.html?label=gen173nr-10CAEoggI46AdIM1gEaKkBiAEBmAEzuAEHyAEM2AED6AEB-AEBiAIBqAIBuAKAsaPLBsACAdICJGExZTJmMzM5LTFmNWMtNDVkNy05YmVhLWU5NzZkZWFmMTdjY9gCAeACAQ&amp;sid=e52a85b3cbf592e6f63f2c39287a1c6a&amp;aid=304142</t>
  </si>
  <si>
    <t>Christchurch → Lake Tekapo</t>
  </si>
  <si>
    <t>https://www.booking.com/hotel/nz/the-shearers-quarters.nl.html?label=askray-apartment-cSIo6DzYweefYjEQIpj9fQS714023430663%3Apl%3Ata%3Ap1%3Ap2%3Aac%3Aap%3Aneg%3Afi%3Atikwd-2392211680204%3Alp1010427%3Ali%3Adec%3Adm%3Appccp%3DUmFuZG9tSVYkc2RlIyh9YbSsBl3MCvHsD8UKUHIRFxY&amp;sid=ebe3ad77cd4029892a5e367c699c80e5&amp;aid=311984&amp;ucfs=1&amp;checkin=2026-12-16&amp;checkout=2026-12-17&amp;dest_id=-1512185&amp;dest_type=city&amp;group_adults=2&amp;no_rooms=1&amp;group_children=2&amp;age=7&amp;req_age=7&amp;age=9&amp;req_age=9&amp;sr_order=price&amp;srpvid=de3d3cb2e2470055&amp;srepoch=1772529681&amp;matching_block_id=1255877701_398126718_4_0_0&amp;atlas_src=sr_iw_title</t>
  </si>
  <si>
    <t>Lake Tekapo → Mount Cook</t>
  </si>
  <si>
    <t>https://www.hermitage.co.nz/</t>
  </si>
  <si>
    <t>Mount Cook → Moeraki</t>
  </si>
  <si>
    <t>century house b&amp;b flatlette</t>
  </si>
  <si>
    <t>Moeraki → Te Anau</t>
  </si>
  <si>
    <t>https://www.booking.com/hotel/nz/te-anau-lakeview.nl.html?label=gen173nr-10CAEoggI46AdIM1gEaKkBiAEBmAEzuAEHyAEM2AED6AEB-AEBiAIBqAIBuAKAsaPLBsACAdICJGExZTJmMzM5LTFmNWMtNDVkNy05YmVhLWU5NzZkZWFmMTdjY9gCAeACAQ&amp;aid=304142&amp;ucfs=1&amp;checkin=2026-12-19&amp;checkout=2026-12-21&amp;dest_id=-1519212&amp;dest_type=city&amp;group_adults=2&amp;no_rooms=1&amp;group_children=2&amp;age=7&amp;req_age=7&amp;age=9&amp;req_age=9&amp;nflt=price%3DEUR-min-210-1&amp;srpvid=35e783f36aea1070&amp;srepoch=1770922107&amp;matching_block_id=33314831_402800212_4_0_0&amp;atlas_src=sr_iw_title#_</t>
  </si>
  <si>
    <t>Te Anau</t>
  </si>
  <si>
    <t>Te Anau → Queenstown</t>
  </si>
  <si>
    <t>https://hampshireholidayparks.co.nz/queenstown</t>
  </si>
  <si>
    <t>Queenstown</t>
  </si>
  <si>
    <t>Queenstown → Wanaka</t>
  </si>
  <si>
    <t>NOODNUMMERS WERELDREIS 2026–2027</t>
  </si>
  <si>
    <t>https://www.booking.com/hotel/nz/toi-toi-holiday-home.nl.html?label=gen173nr-10CAEoggI46AdIM1gEaKkBiAEBmAEzuAEHyAEM2AED6AEB-AEBiAIBqAIBuAKAsaPLBsACAdICJGExZTJmMzM5LTFmNWMtNDVkNy05YmVhLWU5NzZkZWFmMTdjY9gCAeACAQ&amp;aid=304142&amp;ucfs=1&amp;checkin=2026-12-23&amp;checkout=2026-12-25&amp;dest_id=-1516080&amp;dest_type=city&amp;group_adults=2&amp;no_rooms=1&amp;group_children=2&amp;age=7&amp;req_age=7&amp;age=9&amp;req_age=9&amp;nflt=price%3DEUR-min-200-1&amp;srpvid=5dde618ea09b01c4&amp;srepoch=1770386517&amp;matching_block_id=1042234601_376644161_4_0_0_530773&amp;atlas_src=sr_iw_title</t>
  </si>
  <si>
    <t>Bij direct levensgevaar: bel eerst het lokale alarmnummer. Bel daarna zo snel mogelijk Special ISIS; voor consulaire nood is Nederland Wereldwijd 24/7 bereikbaar.</t>
  </si>
  <si>
    <t>Land</t>
  </si>
  <si>
    <t>Algemeen alarm</t>
  </si>
  <si>
    <t>Politie</t>
  </si>
  <si>
    <t>Ambulance</t>
  </si>
  <si>
    <t>Brandweer</t>
  </si>
  <si>
    <t>Ambassade / consulaat</t>
  </si>
  <si>
    <t>Nederland Wereldwijd</t>
  </si>
  <si>
    <t>Ziekenhuis / medische hulp</t>
  </si>
  <si>
    <t>Special ISIS</t>
  </si>
  <si>
    <t>CZ Helpline</t>
  </si>
  <si>
    <t>Belangrijk</t>
  </si>
  <si>
    <t>Verenigde Staten</t>
  </si>
  <si>
    <t>Consulaat-generaal San Francisco
 +1 415 291 2033</t>
  </si>
  <si>
    <t>+31 247 247 247
 (24 uur per dag)</t>
  </si>
  <si>
    <t>Bij spoed: dichtstbijzijnde ER via 911.
 San Francisco: Zuckerberg SF General, 1001 Potrero Ave
 +1 628 206 8000</t>
  </si>
  <si>
    <t>+1 800 694 9832 (gratis vanuit VS)
 Global: +31 182 544 555</t>
  </si>
  <si>
    <t>Wanaka</t>
  </si>
  <si>
    <t>+31 13 468 04 02
  (24 uur per dag)</t>
  </si>
  <si>
    <t>Zorgkosten kunnen zeer hoog zijn. Bel Special ISIS bij opname, ongeval of repatriëring zo snel mogelijk.</t>
  </si>
  <si>
    <t>Geen Nederlandse ambassade in Fiji.
 Ambassade Wellington: +64 4 471 6390</t>
  </si>
  <si>
    <t>Nadi Hospital: +679 670 1128
 Lautoka Hospital: +679 666 0399
 Op een eiland: waarschuw resort/bootoperator direct.</t>
  </si>
  <si>
    <t>+31 182 544 555
 Goudse Alarmcentrale</t>
  </si>
  <si>
    <t>Ambulance- en evacuatiemogelijkheden zijn buiten de grote plaatsen en op eilanden beperkt. Geef eiland, resort en aanlegsteiger door.</t>
  </si>
  <si>
    <t>000
 112 vanaf mobiel is alternatief</t>
  </si>
  <si>
    <t>000
 Niet-spoed: 131 444</t>
  </si>
  <si>
    <t>000 (spoed)</t>
  </si>
  <si>
    <t>Ambassade Canberra: +61 2 6220 9400
 Consulaat Sydney: +61 2 8305 6800</t>
  </si>
  <si>
    <t>Wanaka → Franz Josef</t>
  </si>
  <si>
    <t>Bij spoed: 000.
Healthdirect verpleegkundige: 1800 022 222 (24/7)</t>
  </si>
  <si>
    <t>Bel 000 alleen bij levensgevaar of tijdkritische situaties. Gebruik Healthdirect voor medische twijfel zonder acute nood.</t>
  </si>
  <si>
    <t>111
 Niet-spoed: 105</t>
  </si>
  <si>
    <t>Ambassade Wellington
 +64 4 471 6390</t>
  </si>
  <si>
    <t>Bij spoed: 111.
Healthline: 0800 611 116 (24/7)</t>
  </si>
  <si>
    <t>111 is voor politie, brandweer en ambulance. Gebruik 105 alleen voor niet-dringende politiezaken.</t>
  </si>
  <si>
    <t>999 politie
 995 brandweer/ambulance</t>
  </si>
  <si>
    <t>https://rainforest.nz/holiday-park/</t>
  </si>
  <si>
    <t>Ambassade Singapore
 +65 6737 1155</t>
  </si>
  <si>
    <t>Kinderen: KKH Children's Emergency, 100 Bukit Timah Rd
 +65 6225 5554
 Volwassenen: SGH Emergency, 1 Hospital Boulevard
 Niet-spoed: NurseFirst 6262 6262</t>
  </si>
  <si>
    <t>Gebruik tijdens jullie reis NurseFirst voor niet-levensbedreigende medische vragen.</t>
  </si>
  <si>
    <t>191 algemeen/politie
 1669 medisch</t>
  </si>
  <si>
    <t>191
 Toeristenpolitie: 1155</t>
  </si>
  <si>
    <t>Ambassade Bangkok
 +66 2 309 5200</t>
  </si>
  <si>
    <t>Bangkok Hospital Phuket, Emergency &amp; Trauma Center (24/7)
 +66 76 254 425
 Elders: bel 1669 en waarschuw hotel/resort.</t>
  </si>
  <si>
    <t>Toeristenpolitie 1155 biedt 24/7 hulp in meerdere talen. Bewaar de naam en het adres van de accommodatie ook in het Thais.</t>
  </si>
  <si>
    <t>Qatar</t>
  </si>
  <si>
    <t>Franz Josef</t>
  </si>
  <si>
    <t>Ambassade Doha
 +974 4495 4700</t>
  </si>
  <si>
    <t>Hamad General Hospital, Adult Emergency (24/7)
 +974 4434 2421 / 2422
 Kinderen t/m 14 jaar: Pediatric Emergency Center via 999.</t>
  </si>
  <si>
    <t>999 verbindt met politie, Civil Defence en ambulance. Kinderen t/m 14 jaar gaan naar een Pediatric Emergency Center.</t>
  </si>
  <si>
    <t>112 politie
 115 ambulance</t>
  </si>
  <si>
    <t>Ambassade Dar es Salaam
 +255 22 219 4000</t>
  </si>
  <si>
    <t>Arusha Lutheran Medical Centre (24/7)
 Spoed: +255 766 909 113
 Tijdens safari: informeer gids/lodge direct voor vervoer of evacuatie.</t>
  </si>
  <si>
    <t>De bereikbaarheid en responstijd kunnen buiten steden beperkt zijn. Laat gids/lodge coördineren en bel de verzekeraar direct bij mogelijke evacuatie.</t>
  </si>
  <si>
    <t>Gecontroleerd op 12 augustus 2026 • Nummers kunnen wijzigen: controleer kort voor vertrek en bewaar dit bestand ook offline.</t>
  </si>
  <si>
    <t>Franz Josef → Punakaiki</t>
  </si>
  <si>
    <t>https://www.booking.com/hotel/nz/punakaiki-beachfront-motels.nl.html?label=gen173nr-10CAEoggI46AdIM1gEaKkBiAEBmAEzuAEHyAEM2AED6AEB-AEBiAIBqAIBuAKAsaPLBsACAdICJGExZTJmMzM5LTFmNWMtNDVkNy05YmVhLWU5NzZkZWFmMTdjY9gCAeACAQ&amp;sid=e52a85b3cbf592e6f63f2c39287a1c6a&amp;aid=304142</t>
  </si>
  <si>
    <t>Punakaiki → Abel Tasman</t>
  </si>
  <si>
    <t>https://barn.co.nz/</t>
  </si>
  <si>
    <t>Abel Tasman</t>
  </si>
  <si>
    <t>Abel Tasman → Pohara Beach</t>
  </si>
  <si>
    <t>https://www.booking.com/hotel/nz/collingwood-cottage.nl.html?label=gen173nr-10CAEoggI46AdIM1gEaKkBiAEBmAEzuAEHyAEM2AED6AEB-AEBiAIBqAIBuAKF_O_KBsACAdICJGNkY2E4NTEyLWQ2MDgtNGE0OC05NmI2LTk1MWFkZTEwMjZmM9gCAeACAQ&amp;sid=e7305b77bb0f53228a4e0c78d17d6ca4&amp;aid=304142</t>
  </si>
  <si>
    <r>
      <rPr>
        <color rgb="FF1155CC"/>
        <u/>
      </rPr>
      <t>Find your Escape | Canopy Camping Escapes</t>
    </r>
  </si>
  <si>
    <t>Pohara Beach</t>
  </si>
  <si>
    <t>DOCUMENTEN &amp; ADMINISTRATIE</t>
  </si>
  <si>
    <t xml:space="preserve">Pohara Beach → Picton </t>
  </si>
  <si>
    <t>Per persoon</t>
  </si>
  <si>
    <t>Paspoort</t>
  </si>
  <si>
    <t>https://www.broadwaymotel.co.nz/</t>
  </si>
  <si>
    <t>Kopie paspoort (papier)</t>
  </si>
  <si>
    <t>Digitale kopie paspoort</t>
  </si>
  <si>
    <t>Picton → Wellington</t>
  </si>
  <si>
    <t>Reisverzekering</t>
  </si>
  <si>
    <t>Vliegtickets/e-tickets</t>
  </si>
  <si>
    <t>Zorgpas</t>
  </si>
  <si>
    <t>Bankpas</t>
  </si>
  <si>
    <t>Creditcard</t>
  </si>
  <si>
    <t>Gezamenlijk</t>
  </si>
  <si>
    <t>Rijbewijs</t>
  </si>
  <si>
    <t>Internationaal rijbewijs</t>
  </si>
  <si>
    <t>Noodnummers</t>
  </si>
  <si>
    <t>Pen</t>
  </si>
  <si>
    <t>Waterdichte documentmap</t>
  </si>
  <si>
    <t>https://www.airbnb.nl/rooms/9684916?photo_id=2220679948&amp;source_impression_id=p3_1771169475_P3rjKaEXONFmkoIH&amp;previous_page_section_name=1000</t>
  </si>
  <si>
    <t>Pasfoto’s</t>
  </si>
  <si>
    <t>Wellington</t>
  </si>
  <si>
    <t>MAN</t>
  </si>
  <si>
    <t>Kleding</t>
  </si>
  <si>
    <t>7 T-shirts</t>
  </si>
  <si>
    <t>1 nette shirts/blouse</t>
  </si>
  <si>
    <t>1 onder shirt voor blouse</t>
  </si>
  <si>
    <t>3 korte broeken</t>
  </si>
  <si>
    <t>2 lange broeken</t>
  </si>
  <si>
    <t>Wellington → Mt Taranaki</t>
  </si>
  <si>
    <t>1 lange dunne broek (fitness broek)</t>
  </si>
  <si>
    <t>Jassen &amp; Vesten</t>
  </si>
  <si>
    <t>1 fleecevest</t>
  </si>
  <si>
    <t>1 Softshelljas</t>
  </si>
  <si>
    <t>1 lichte regenjas</t>
  </si>
  <si>
    <t>Ondergoed</t>
  </si>
  <si>
    <t>9 onderbroeken</t>
  </si>
  <si>
    <t>3 paar normale sokken</t>
  </si>
  <si>
    <t>3 paar wandelsokken</t>
  </si>
  <si>
    <t>3 paar korte sokken</t>
  </si>
  <si>
    <t>https://www.booking.com/hotel/nz/mangorei-heights.nl.html?label=gen173nr-10CAEoggI46AdIM1gEaKkBiAEBmAEzuAEHyAEM2AED6AEB-AEBiAIBqAIBuAKAsaPLBsACAdICJGExZTJmMzM5LTFmNWMtNDVkNy05YmVhLWU5NzZkZWFmMTdjY9gCAeACAQ&amp;sid=e52a85b3cbf592e6f63f2c39287a1c6a&amp;aid=304142</t>
  </si>
  <si>
    <t>2 Pyjama shirts</t>
  </si>
  <si>
    <t>Zwemmen</t>
  </si>
  <si>
    <t>3 zwemshort</t>
  </si>
  <si>
    <t>3 UV-shirt</t>
  </si>
  <si>
    <t>1 lycra</t>
  </si>
  <si>
    <t>1 Pet</t>
  </si>
  <si>
    <t>Sport</t>
  </si>
  <si>
    <t>1 korte sportbroek</t>
  </si>
  <si>
    <t>3 sportshirts kort</t>
  </si>
  <si>
    <t>1 Sportshirt lange mouwen</t>
  </si>
  <si>
    <t>1 lange wandelbroek</t>
  </si>
  <si>
    <t>Schoenen</t>
  </si>
  <si>
    <t>1 paar sneakers</t>
  </si>
  <si>
    <t>1 paar lage wandelschoenen</t>
  </si>
  <si>
    <t>1 paar slippers</t>
  </si>
  <si>
    <t>1 paar waterschoenen</t>
  </si>
  <si>
    <t>Mt Taranaki</t>
  </si>
  <si>
    <t>VROUW</t>
  </si>
  <si>
    <t>6 tops/T-shirts</t>
  </si>
  <si>
    <t>2 jurkjes</t>
  </si>
  <si>
    <t>2 korte broeken/rokken</t>
  </si>
  <si>
    <t>1 regenjas</t>
  </si>
  <si>
    <t>8 dagen ondergoed</t>
  </si>
  <si>
    <t>Mt Taranaki → Waitomo</t>
  </si>
  <si>
    <t>2 Pyjama</t>
  </si>
  <si>
    <t>2 zwemsets</t>
  </si>
  <si>
    <t>1 UV-shirt / lycra</t>
  </si>
  <si>
    <t>1 hoed of pet</t>
  </si>
  <si>
    <t>2 sportshirts kort</t>
  </si>
  <si>
    <t>2 sport-bh’s</t>
  </si>
  <si>
    <t>1 sportlegging</t>
  </si>
  <si>
    <t>https://www.booking.com/hotel/nz/waitomo-top-10-holiday-park.nl.html?label=gen173nr-10CAEoggI46AdIM1gEaKkBiAEBmAEzuAEHyAEM2AED6AEB-AEBiAIBqAIBuAKAsaPLBsACAdICJGExZTJmMzM5LTFmNWMtNDVkNy05YmVhLWU5NzZkZWFmMTdjY9gCAeACAQ&amp;aid=304142&amp;ucfs=1&amp;checkin=2027-01-07&amp;checkout=2027-01-08&amp;dest_id=-1521103&amp;dest_type=city&amp;group_adults=2&amp;no_rooms=1&amp;group_children=2&amp;age=7&amp;req_age=7&amp;age=9&amp;req_age=9&amp;nflt=price%3DEUR-min-180-1%3Bhotelfacility%3D433&amp;srpvid=8ec88b2299c70454&amp;srepoch=1770926799&amp;matching_block_id=38496707_266266358_4_0_0&amp;atlas_src=sr_iw_title#_</t>
  </si>
  <si>
    <t>1 paar wandelschoenen</t>
  </si>
  <si>
    <t>1 paar slippers / sandalen</t>
  </si>
  <si>
    <t>MEIDEN (8 &amp; 10 JAAR)</t>
  </si>
  <si>
    <t>Kleding kind 10</t>
  </si>
  <si>
    <t>7 tops/T-shirts</t>
  </si>
  <si>
    <t>5 jurkjes</t>
  </si>
  <si>
    <t>2 broekjes onder jurk</t>
  </si>
  <si>
    <t>4 korte broeken/rokken</t>
  </si>
  <si>
    <t>3 lange broeken</t>
  </si>
  <si>
    <t>1 vest</t>
  </si>
  <si>
    <t>1 shirt lange mouwen</t>
  </si>
  <si>
    <t>1 softshelljas</t>
  </si>
  <si>
    <t>2 paar wandelsokken</t>
  </si>
  <si>
    <t>5 paar korte sokken</t>
  </si>
  <si>
    <t>Waitomo → Taupo</t>
  </si>
  <si>
    <t>2 bikini</t>
  </si>
  <si>
    <t>2 lycra</t>
  </si>
  <si>
    <t>2 korte wandelbroek</t>
  </si>
  <si>
    <t>https://www.taupodebretts.co.nz/hot-pools</t>
  </si>
  <si>
    <t>2 lange wandelbroek</t>
  </si>
  <si>
    <t>Kleding kind 8</t>
  </si>
  <si>
    <t>7 jurkjes</t>
  </si>
  <si>
    <t>6 korte broeken/rokken</t>
  </si>
  <si>
    <t>Taupo</t>
  </si>
  <si>
    <t>16 ondergoed</t>
  </si>
  <si>
    <r>
      <rPr/>
      <t xml:space="preserve">Taupo &amp; Tongariro crossing
</t>
    </r>
    <r>
      <rPr>
        <color rgb="FF1155CC"/>
        <u/>
      </rPr>
      <t>https://www.tongariroexpeditions.com/shuttle-options/taupo-return-shuttle</t>
    </r>
  </si>
  <si>
    <t>TOILETTAS</t>
  </si>
  <si>
    <t>Tandenborstels</t>
  </si>
  <si>
    <t>Tandpasta</t>
  </si>
  <si>
    <t>Shampoo</t>
  </si>
  <si>
    <t>Conditioner</t>
  </si>
  <si>
    <t>Borstel/kam</t>
  </si>
  <si>
    <t>Elastiekjes</t>
  </si>
  <si>
    <t>Deodorant</t>
  </si>
  <si>
    <t>Scheermes</t>
  </si>
  <si>
    <t>Scheerapparaat</t>
  </si>
  <si>
    <t>Lippenbalsem</t>
  </si>
  <si>
    <t>Nagelschaar</t>
  </si>
  <si>
    <t>Zonnebrand SPF50</t>
  </si>
  <si>
    <t>Aftersun</t>
  </si>
  <si>
    <t>EHBO</t>
  </si>
  <si>
    <t>Paracetamol volwassenen</t>
  </si>
  <si>
    <t>Paracetamol kinderen</t>
  </si>
  <si>
    <t>Pleisters</t>
  </si>
  <si>
    <t>ORS</t>
  </si>
  <si>
    <t>Anti-muggenspray</t>
  </si>
  <si>
    <t>Jeukcrème</t>
  </si>
  <si>
    <t>Reisziekte-tabletten</t>
  </si>
  <si>
    <t>Desinfectiegel</t>
  </si>
  <si>
    <t>Medicijnen</t>
  </si>
  <si>
    <t>EHBO set</t>
  </si>
  <si>
    <t>https://canopycamping.co.nz/find-your-escape</t>
  </si>
  <si>
    <t>Schaar</t>
  </si>
  <si>
    <t>verband</t>
  </si>
  <si>
    <t>Desinfectie middel (jodium)</t>
  </si>
  <si>
    <t>Thermometer</t>
  </si>
  <si>
    <t>Taupo → Rotorua</t>
  </si>
  <si>
    <t>Tekentang</t>
  </si>
  <si>
    <t>ELEKTRONICA</t>
  </si>
  <si>
    <t>Telefoons</t>
  </si>
  <si>
    <t>Tablets</t>
  </si>
  <si>
    <t>Opladers</t>
  </si>
  <si>
    <t>booking.com/hotel/nz/rotorua-hideaway-lodge.nl.html?aid=304142&amp;label=gen173nr-10CAEoggI46AdIM1gEaKkBiAEBmAEzuAEHyAEM2AED6AEB-AEBiAIBqAIBuAKAsaPLBsACAdICJGExZTJmMzM5LTFmNWMtNDVkNy05YmVhLWU5NzZkZWFmMTdjY9gCAeACAQ&amp;sid=e52a85b3cbf592e6f63f2c39287a1c6a&amp;age=10&amp;age=8&amp;all_sr_blocks=32426105_99746888_4_0_0_292436&amp;checkin=2027-01-12&amp;checkout=2027-01-14&amp;dest_id=900039038&amp;dest_type=city&amp;dist=0&amp;group_adults=2&amp;group_children=2&amp;hapos=11&amp;highlighted_blocks=32426105_99746888_4_0_0_292436&amp;hpos=11&amp;matching_block_id=32426105_99746888_4_0_0_292436&amp;no_rooms=1&amp;req_adults=2&amp;req_age=10&amp;req_age=8&amp;req_children=2&amp;room1=A%2CA%2C8%2C10&amp;sb_price_type=total&amp;sr_order=popularity&amp;sr_pri_blocks=32426105_99746888_4_0_0_292436_56661&amp;srepoch=1774192550&amp;srpvid=2b516b2decc5005d&amp;type=total&amp;ucfs=1&amp;#availability</t>
  </si>
  <si>
    <t>Wereldstekker</t>
  </si>
  <si>
    <t>Powerbank 20.000</t>
  </si>
  <si>
    <t>4 koptelefoons</t>
  </si>
  <si>
    <t>E-reader</t>
  </si>
  <si>
    <t>Camera</t>
  </si>
  <si>
    <t>SD-kaarten</t>
  </si>
  <si>
    <t>AirTags</t>
  </si>
  <si>
    <t>Reservekleding</t>
  </si>
  <si>
    <t>Waterflessen</t>
  </si>
  <si>
    <t>Paspoorten/documenten</t>
  </si>
  <si>
    <t>Waslijn</t>
  </si>
  <si>
    <t>Klein wasmiddel</t>
  </si>
  <si>
    <t>Drybags</t>
  </si>
  <si>
    <t>Opvouwbare tas</t>
  </si>
  <si>
    <t>Regenhoezen</t>
  </si>
  <si>
    <t>Ziploczakjes</t>
  </si>
  <si>
    <t>zakje met wc papier</t>
  </si>
  <si>
    <t>Sneldrogende handdoek</t>
  </si>
  <si>
    <t>Verrekijker</t>
  </si>
  <si>
    <t>Zaklamp/headlamp</t>
  </si>
  <si>
    <t>3 snorkelspullen</t>
  </si>
  <si>
    <t>2 strandlaken</t>
  </si>
  <si>
    <t>Zonnebril</t>
  </si>
  <si>
    <t>2 mesjes</t>
  </si>
  <si>
    <t>2 bestekjes</t>
  </si>
  <si>
    <t>Spullen kinderen</t>
  </si>
  <si>
    <t>Knuffel</t>
  </si>
  <si>
    <t>Tablet</t>
  </si>
  <si>
    <t>Koptelefoon</t>
  </si>
  <si>
    <t>Ipad</t>
  </si>
  <si>
    <t>Rotorua</t>
  </si>
  <si>
    <t>Kleurboek/spelletjes</t>
  </si>
  <si>
    <t>Waterfles</t>
  </si>
  <si>
    <t>Snacks</t>
  </si>
  <si>
    <t>Reservekleding kinderen</t>
  </si>
  <si>
    <t>Rotorua → Coromandel</t>
  </si>
  <si>
    <t>https://www.hotwaterbeachtop10.co.nz/</t>
  </si>
  <si>
    <t>Coromandel</t>
  </si>
  <si>
    <t>Coromandel → Auckland</t>
  </si>
  <si>
    <t>https://www.booking.com/hotel/nz/grand-millennium-auckland.nl.html?label=gen173nr-10CAEoggI46AdIM1gEaKkBiAEBmAEzuAEHyAEM2AED6AEB-AEBiAIBqAIBuAKAsaPLBsACAdICJGExZTJmMzM5LTFmNWMtNDVkNy05YmVhLWU5NzZkZWFmMTdjY9gCAeACAQ&amp;aid=304142&amp;ucfs=1&amp;checkin=2027-01-19&amp;checkout=2027-01-21&amp;dest_id=-1506909&amp;dest_type=city&amp;group_adults=2&amp;no_rooms=1&amp;group_children=2&amp;age=8&amp;req_age=8&amp;age=10&amp;req_age=10&amp;nflt=oos%3D1%3Bprice%3DEUR-min-180-1%3Bhotelfacility%3D433&amp;srpvid=38a46e10163202b1&amp;srepoch=1774208674&amp;matching_block_id=4311826_91457047_2_2_0&amp;atlas_src=sr_iw_title</t>
  </si>
  <si>
    <t>Dag</t>
  </si>
  <si>
    <t>Route</t>
  </si>
  <si>
    <t>Beschrijving</t>
  </si>
  <si>
    <t>Afstand</t>
  </si>
  <si>
    <t>Reistijd</t>
  </si>
  <si>
    <t>informatie</t>
  </si>
  <si>
    <t>Google maps</t>
  </si>
  <si>
    <t>Kolom 1</t>
  </si>
  <si>
    <t>Komoot wandeling</t>
  </si>
  <si>
    <t>Auckland ➔ Singapore</t>
  </si>
  <si>
    <t>✈️ Aankomst San Francisco</t>
  </si>
  <si>
    <r>
      <rPr>
        <rFont val="Calibri"/>
        <color theme="1"/>
      </rPr>
      <t xml:space="preserve">Aankomst, rustig bijkomen. </t>
    </r>
    <r>
      <rPr>
        <rFont val="Calibri"/>
        <b/>
        <color theme="1"/>
      </rPr>
      <t>Aankomst tijd 13:50 uur</t>
    </r>
    <r>
      <rPr>
        <rFont val="Calibri"/>
        <color theme="1"/>
      </rPr>
      <t xml:space="preserve">
- Avondwandeling langs de baai.</t>
    </r>
  </si>
  <si>
    <t>Door vlucht dag verschil</t>
  </si>
  <si>
    <t>Dag 1</t>
  </si>
  <si>
    <t>✈️ Aankomst Nadi</t>
  </si>
  <si>
    <t>https://www.booking.com/hotel/sg/grand-copthorne-waterfront.nl.html?label=lgnl_crEUR_sf_fn_piPRkLMeRuNjOx_oiOF06AY3UAJRx_sctpa_pl_ta_neg_fi_tikwd-2471616913092_lp1010754_li_dec_dm_ag196401585027_ci23568827516&amp;sid=58385233827b3dc4126ecb2cfd20fd81&amp;aid=2421090&amp;ucfs=1&amp;checkin=2027-01-21&amp;checkout=2027-01-25&amp;dest_id=-73635&amp;dest_type=city&amp;group_adults=2&amp;no_rooms=1&amp;group_children=2&amp;age=7&amp;req_age=7&amp;age=9&amp;req_age=9&amp;nflt=price%3DEUR-min-230-1%3Bhotelfacility%3D433&amp;srpvid=c513666c1f030198&amp;srepoch=1771770897&amp;matching_block_id=2512653_95148948_2_1_0&amp;atlas_src=sr_iw_title#_</t>
  </si>
  <si>
    <t>Transfer naar Plantation Resort om 08:00</t>
  </si>
  <si>
    <t>https://www.google.com/maps/dir/?api=1&amp;origin=San%20Francisco%20International%20Airport%2C%20San%20Francisco%2C%20CA&amp;destination=Holiday%20Inn%20San%20Francisco-Golden%20Gateway%2C%201500%20Van%20Ness%20Avenue%2C%20San%20Francisco%2C%20CA%2094109&amp;waypoints=Holiday%20Inn%20San%20Francisco-Golden%20Gateway%2C%201500%20Van%20Ness%20Avenue%2C%20San%20Francisco%2C%20CA%2094109%7CFort%20Mason%20Great%20Meadow%2C%20Bay%20Street%2C%20San%20Francisco%2C%20CA%7CAquatic%20Park%20Cove%2C%20San%20Francisco%2C%20CA</t>
  </si>
  <si>
    <t>1u</t>
  </si>
  <si>
    <t>Vertrek 8:00:00 Aaankomst 08:50</t>
  </si>
  <si>
    <t>Dag 2</t>
  </si>
  <si>
    <t>Plantation Resort</t>
  </si>
  <si>
    <t>Dag 3</t>
  </si>
  <si>
    <t>Plantation Resort → Port Denarau</t>
  </si>
  <si>
    <t>vertek 15:45</t>
  </si>
  <si>
    <t>Dag 4</t>
  </si>
  <si>
    <t>Eco trax</t>
  </si>
  <si>
    <t>Dag 5</t>
  </si>
  <si>
    <t>Port Denarau → Kuata Island</t>
  </si>
  <si>
    <t>- 09:00 Cable car rit (Powell–Hyde) Powell Street → Fisherman's Wharf  
- 10:00 Pier 39 – zeeleeuwen Pier 39 Korte stop + wandelen
- 11:30 Lunch Fisherman's Wharf Fisherman's Wharf Eerder lunchen voorkomt drukte
- 13:00 Museum keuze (Exploratorium of California Academy of Sciences)
- 15:30 Chinatown verkennen Chinatown (Grant Avenue) Kort + gericht
- 17:30 Diner North Beach North Beach (Little Italy) Rustige afsluiter dag
- 19:00 Einde dag / terug naar hotel Geen late avond i.v.m. jetlag</t>
  </si>
  <si>
    <t xml:space="preserve">Vertrek 08:45 ferry Yasawa Flyer vanuit Port Denarau → 10:30 </t>
  </si>
  <si>
    <t>Dag 6</t>
  </si>
  <si>
    <t>Excursies: snorkelen met rifhaaien (optioneel), kajakken, wandelen naar viewpoints.</t>
  </si>
  <si>
    <t>Vertrek 8:45:00 Aankomst 18:00</t>
  </si>
  <si>
    <t>Dag 7</t>
  </si>
  <si>
    <t>snorkelen, kajakken, wandelen naar viewpoints.</t>
  </si>
  <si>
    <t>https://www.google.com/maps/dir/?api=1&amp;origin=Holiday%20Inn%20San%20Francisco-Golden%20Gateway%2C%201500%20Van%20Ness%20Avenue%2C%20San%20Francisco%2C%20CA%2094109&amp;destination=Holiday%20Inn%20San%20Francisco-Golden%20Gateway%2C%201500%20Van%20Ness%20Avenue%2C%20San%20Francisco%2C%20CA%2094109&amp;waypoints=Powell%20Street%20Cable%20Car%20Turnaround%2C%20Powell%20Street%20and%20Market%20Street%2C%20San%20Francisco%2C%20CA%7CHyde%20Street%20and%20Beach%20Street%2C%20San%20Francisco%2C%20CA%7CSea%20Lion%20Viewing%20Area%2C%20Pier%2039%2C%20San%20Francisco%2C%20CA%7CFisherman's%20Wharf%2C%20San%20Francisco%2C%20CA%7CExploratorium%2C%20Pier%2015%2C%20San%20Francisco%2C%20CA%2094111%7CDragon's%20Gate%2C%20Bush%20Street%20and%20Grant%20Avenue%2C%20San%20Francisco%2C%20CA%7CNorth%20Beach%2C%20San%20Francisco%2C%20CA&amp;travelmode=transit</t>
  </si>
  <si>
    <t>Dag 8</t>
  </si>
  <si>
    <t>14:50 ferry vertrek → 17:35 aankomst Port Denarau. Taxi naar airport hotel</t>
  </si>
  <si>
    <t>Dag 9</t>
  </si>
  <si>
    <t>✈️ Vertrek Nadi → Brisbane</t>
  </si>
  <si>
    <t>Vlucht naar Brisbane. om 08:20</t>
  </si>
  <si>
    <t>- 09:00 Start fietstocht Golden Gate vanaf Fisherman's Wharf
- 10:30 Golden Gate Bridge viewpoint Foto + korte pauze
- 11:30 Aankomst Sausalito Sausalito wandelen + ijsje
- 12:00 Lunch Sausalito Sausalito waterkant
- 14:00 Ferry terug naar San Francisco Sausalito → Pier 41/39 niet te laat i.v.m. drukte
- 15:30 Lombard Street Lombard Street 20–30 min stop
- 16:30 Mission District of Golden Gate Par
- 18:00 Twin Peaks (optioneel sunset) Uitsluitend bij helder weer
- 19:30 Einde dag Avond vrij</t>
  </si>
  <si>
    <r>
      <rPr/>
      <t xml:space="preserve">https://www.blazingsaddles.com/
</t>
    </r>
    <r>
      <rPr>
        <color rgb="FF1155CC"/>
        <u/>
      </rPr>
      <t>https://bikeandview.com/bike-rental</t>
    </r>
  </si>
  <si>
    <t>https://www.google.com/maps/dir/?api=1&amp;origin=Holiday%20Inn%20San%20Francisco-Golden%20Gateway%2C%201500%20Van%20Ness%20Avenue%2C%20San%20Francisco%2C%20CA%2094109&amp;destination=Holiday%20Inn%20San%20Francisco-Golden%20Gateway%2C%201500%20Van%20Ness%20Avenue%2C%20San%20Francisco%2C%20CA%2094109&amp;waypoints=Fisherman's%20Wharf%2C%20San%20Francisco%2C%20CA%7CGolden%20Gate%20Bridge%20Welcome%20Center%2C%20San%20Francisco%2C%20CA%7CGolden%20Gate%20Bridge%20Vista%20Point%2C%20US-101%2C%20Sausalito%2C%20CA%2094965%7CSausalito%20Ferry%20Landing%2C%20Sausalito%2C%20CA%7CSan%20Francisco%20Ferry%20Building%2C%201%20Ferry%20Building%2C%20San%20Francisco%2C%20CA%7CFisherman's%20Wharf%2C%20San%20Francisco%2C%20CA%7CLombard%20Street%2C%20San%20Francisco%2C%20CA%7CGolden%20Gate%20Park%2C%20San%20Francisco%2C%20CA%7CTwin%20Peaks%2C%20San%20Francisco%2C%20CA&amp;travelmode=bicycling</t>
  </si>
  <si>
    <t>- 09:00 Vertrek richting Monterey via Highway 1.
- Optioneel stop: Santa Cruz Boardwalk of pier met zeeleeuwen.
- 12:00 Aankomst Monterey – lunch.
- 13:00 17-Mile Drive bij Carmel-by-the-Sea (tol ~$12).
- 14:30 Point Lobos State Reserve – max 1,5 uur. Zeeotters bij Cypress Grove &amp; China Cove.
- 16:30 Carmel-by-the-Sea dorpje verkennen.</t>
  </si>
  <si>
    <t>https://www.google.com/maps/dir/?api=1&amp;origin=433%20Powell%20Street%2C%20San%20Francisco%2C%20CA%2094102&amp;destination=707%20Pacific%20Street%2C%20Monterey%2C%20CA%2093940&amp;travelmode=driving&amp;waypoints=Santa%20Cruz%20Wharf%2C%20Santa%20Cruz%2C%20CA%7COld%20Fisherman's%20Wharf%2C%20Monterey%2C%20CA%7CPacific%20Grove%20Gate%2C%2017%20Mile%20Drive%2C%20CA%7CSpanish%20Bay%2C%20Pebble%20Beach%2C%20CA%7CLone%20Cypress%2C%20Pebble%20Beach%2C%20CA%7CPoint%20Lobos%20State%20Natural%20Reserve%2C%20CA%7CCarmel-by-the-Sea%2C%20CA</t>
  </si>
  <si>
    <t>Singapore ➔ Phuket ➔ Khao Lak</t>
  </si>
  <si>
    <t>Dag 1 – Aankomst Brisbane
Rustige wandeling langs Brisbane River of South Bank</t>
  </si>
  <si>
    <t>https://www.thesandskhaolak.com/index.php</t>
  </si>
  <si>
    <t>Rustige start i.v.m. jetlag</t>
  </si>
  <si>
    <t>https://www.google.com/maps/dir/?api=1&amp;origin=1%20Cordelia%20Street%2C%20South%20Brisbane%20QLD%204101%2C%20Australia&amp;destination=1%20Cordelia%20Street%2C%20South%20Brisbane%20QLD%204101%2C%20Australia&amp;travelmode=walking&amp;waypoints=South%20Bank%20Parklands%2C%20Brisbane%20QLD%2C%20Australia%7CClem%20Jones%20Promenade%2C%20South%20Brisbane%20QLD%2C%20Australia</t>
  </si>
  <si>
    <r>
      <rPr>
        <color rgb="FF1155CC"/>
        <u/>
      </rPr>
      <t>https://www.komoot.com/nl-nl/tour/2614904856</t>
    </r>
    <r>
      <rPr/>
      <t xml:space="preserve">
</t>
    </r>
    <r>
      <rPr>
        <color rgb="FF1155CC"/>
        <u/>
      </rPr>
      <t>https://www.komoot.com/nl-nl/tour/2614897863</t>
    </r>
    <r>
      <rPr/>
      <t xml:space="preserve">
</t>
    </r>
  </si>
  <si>
    <t>Khao Lak</t>
  </si>
  <si>
    <t>Google Maps-link</t>
  </si>
  <si>
    <t>Monterey / Carmel → San Simeon (Big Sur route)</t>
  </si>
  <si>
    <t>- 10:00–13:00 Whale watch tour vanuit Monterey (boek vooraf!).
- 14:00 Vertrek richting San Simeon via Highway 1.
- Bixby Creek Bridge &amp; Hurricane Point – fotostop.
- Julia Pfeiffer Burns SP – McWay Falls viewpoint (iconische waterval, 15 min).
- Pfeiffer Big Sur SP óf Andrew Molera – één korte wandeling (kies vooraf).
- Elephant Seals bij Piedras Blancas – gratis, indrukwekkend!</t>
  </si>
  <si>
    <r>
      <rPr>
        <rFont val="Calibri"/>
        <b/>
        <color theme="1"/>
      </rPr>
      <t xml:space="preserve">Dag 1 – Vlucht Brisbane - Cairns Aankomst Port Douglas
</t>
    </r>
    <r>
      <rPr>
        <rFont val="Calibri"/>
        <color theme="1"/>
      </rPr>
      <t>- Wandeling langs Four Mile Beach
- Diner in het centrum van Port Douglas</t>
    </r>
  </si>
  <si>
    <t>Dag 2 – Brisbane stad &amp; South Bank; 
- South Bank Parklands
- Streets Beach
- GOMA / QAG (kindvriendelijk)</t>
  </si>
  <si>
    <t>https://www.google.com/maps/dir/?api=1&amp;origin=707%20Pacific%20Street%2C%20Monterey%2C%20CA%2093940&amp;destination=9260%20Castillo%20Drive%2C%20San%20Simeon%2C%20CA%2093452&amp;travelmode=driving&amp;waypoints=Monterey%20Bay%20Whale%20Watch%2C%20Monterey%2C%20CA%7CBixby%20Creek%20Bridge%2C%20CA%7CHurricane%20Point%20View%2C%20CA%7CPfeiffer%20Big%20Sur%20State%20Park%2C%20CA%7CMcWay%20Falls%2C%20CA%7CPiedras%20Blancas%20Elephant%20Seal%20Rookery%2C%20CA</t>
  </si>
  <si>
    <t>Relaxen na aankomst</t>
  </si>
  <si>
    <t>Zwemkleding mee</t>
  </si>
  <si>
    <t>https://www.google.com/maps/dir/?api=1&amp;origin=19-37%20Saint%20Crispins%20Avenue%2C%20Port%20Douglas%20QLD%204877%2C%20Australia&amp;destination=19-37%20Saint%20Crispins%20Avenue%2C%20Port%20Douglas%20QLD%204877%2C%20Australia&amp;travelmode=driving&amp;waypoints=Four%20Mile%20Beach%2C%20Port%20Douglas%20QLD%2C%20Australia%7CMacrossan%20Street%2C%20Port%20Douglas%20QLD%2C%20Australia</t>
  </si>
  <si>
    <t>https://www.google.com/maps/dir/?api=1&amp;origin=1%20Cordelia%20Street%2C%20South%20Brisbane%20QLD%204101%2C%20Australia&amp;destination=1%20Cordelia%20Street%2C%20South%20Brisbane%20QLD%204101%2C%20Australia&amp;travelmode=walking&amp;waypoints=South%20Bank%20Parklands%2C%20Brisbane%20QLD%2C%20Australia%7CStreets%20Beach%2C%20South%20Brisbane%20QLD%2C%20Australia%7CQueensland%20Art%20Gallery%20and%20Gallery%20of%20Modern%20Art%2C%20South%20Brisbane%20QLD%2C%20Australia</t>
  </si>
  <si>
    <r>
      <rPr>
        <color rgb="FF1155CC"/>
        <u/>
      </rPr>
      <t>https://www.komoot.com/nl-nl/tour/2702548958</t>
    </r>
    <r>
      <rPr/>
      <t xml:space="preserve">
</t>
    </r>
    <r>
      <rPr>
        <color rgb="FF1155CC"/>
        <u/>
      </rPr>
      <t>https://www.komoot.com/nl-nl/tour/2614928316</t>
    </r>
    <r>
      <rPr/>
      <t xml:space="preserve">
</t>
    </r>
    <r>
      <rPr>
        <color rgb="FF1155CC"/>
        <u/>
      </rPr>
      <t>https://www.komoot.com/nl-nl/tour/2614923839</t>
    </r>
  </si>
  <si>
    <t>Khao Sok</t>
  </si>
  <si>
    <t>Dag 3 – Wildlife &amp; uitzicht
- Lone Pine Koala Sanctuary, Kangoeroes voeren
- Mt Coot-tha Lookout
- Optioneel planetarium</t>
  </si>
  <si>
    <t>0.45</t>
  </si>
  <si>
    <t>Grote hit bij kinderen</t>
  </si>
  <si>
    <t>https://www.google.com/maps/dir/?api=1&amp;origin=1%20Cordelia%20Street%2C%20South%20Brisbane%20QLD%204101%2C%20Australia&amp;destination=1%20Cordelia%20Street%2C%20South%20Brisbane%20QLD%204101%2C%20Australia&amp;travelmode=driving&amp;waypoints=Lone%20Pine%20Koala%20Sanctuary%2C%20Fig%20Tree%20Pocket%20QLD%2C%20Australia%7CMount%20Coot-tha%20Summit%20Lookout%2C%20Mount%20Coot-tha%20QLD%2C%20Australia%7CSir%20Thomas%20Brisbane%20Planetarium%2C%20Mount%20Coot-tha%20QLD%2C%20Australia</t>
  </si>
  <si>
    <t>https://www.magicalmountainviewresort.com/</t>
  </si>
  <si>
    <r>
      <rPr>
        <rFont val="Calibri"/>
        <b/>
        <color theme="1"/>
      </rPr>
      <t xml:space="preserve">Dag 2 – Mossman Gorge &amp; Silky Oaks Lodge
</t>
    </r>
    <r>
      <rPr>
        <rFont val="Calibri"/>
        <color theme="1"/>
      </rPr>
      <t>- Ochtend: bezoek aan Mossman Gorge – korte wandelingen, zwemmen in de rivier 
- Lunch bij Silky Oaks Lodge (prachtig gelegen in de jungle)
- Middag: vrije tijd bij het zwembad of op het strand</t>
    </r>
  </si>
  <si>
    <t>- 09:00 Vertrek richting Morro Bay.
- Morro Bay &amp; Morro Rock – korte stop, strandwandeling.
- 11:30 Lunch aan zee in Morro Bay.
- 13:00 Verder naar Santa Barbara.
- Santa Barbara verkennen: State Street, pier en strandpromenade.
- Optioneel: kijk of er een raketlancering is bij Vandenberg (check 24u van tevoren).</t>
  </si>
  <si>
    <t>20 km</t>
  </si>
  <si>
    <t>25 min</t>
  </si>
  <si>
    <t>Shuttle Mossman Gorge reserveren</t>
  </si>
  <si>
    <t>https://www.google.com/maps/dir/?api=1&amp;origin=19-37%20Saint%20Crispins%20Avenue%2C%20Port%20Douglas%20QLD%204877%2C%20Australia&amp;destination=19-37%20Saint%20Crispins%20Avenue%2C%20Port%20Douglas%20QLD%204877%2C%20Australia&amp;travelmode=driving&amp;waypoints=Mossman%20Gorge%20Cultural%20Centre%2C%20Mossman%20Gorge%20QLD%2C%20Australia%7CSilky%20Oaks%20Lodge%2C%20Finlayvale%20Road%2C%20Mossman%20QLD%2C%20Australia</t>
  </si>
  <si>
    <t>https://www.google.com/maps/dir/?api=1&amp;origin=9260%20Castillo%20Drive%2C%20San%20Simeon%2C%20CA%2093452&amp;destination=180%20Avenue%20of%20Flags%2C%20Buellton%2C%20CA%2093427&amp;travelmode=driving&amp;waypoints=Morro%20Rock%2C%20Morro%20Bay%2C%20CA%7CState%20Street%2C%20Santa%20Barbara%2C%20CA%7CStearns%20Wharf%2C%20Santa%20Barbara%2C%20CA</t>
  </si>
  <si>
    <t>Dag 4 – Brisbane → Byron bay
- Strand Burleigh Heads
- Korte kustwandeling</t>
  </si>
  <si>
    <t>Burleigh rustiger dan Surfers Paradise</t>
  </si>
  <si>
    <t>https://www.google.com/maps/dir/?api=1&amp;origin=1%20Cordelia%20Street%2C%20South%20Brisbane%20QLD%204101%2C%20Australia&amp;destination=1%20Bundaleer%20Road%2C%20Broken%20Head%20NSW%202481%2C%20Australia&amp;travelmode=driving&amp;waypoints=Burleigh%20Heads%20Beach%2C%20Burleigh%20Heads%20QLD%2C%20Australia%7CBurleigh%20Head%20National%20Park%2C%20Burleigh%20Heads%20QLD%2C%20Australia</t>
  </si>
  <si>
    <r>
      <rPr>
        <rFont val="Calibri"/>
        <b/>
        <color theme="1"/>
      </rPr>
      <t xml:space="preserve">Dag 3 – Cape Tribulation &amp; Daintree
</t>
    </r>
    <r>
      <rPr>
        <rFont val="Calibri"/>
        <color theme="1"/>
      </rPr>
      <t>- Vroege rit richting Daintree National Park (veerboot over de Daintree River)
- Bezoek aan Daintree Discovery Centre (skywalk door het regenwoud)
- Rit naar Cape Tribulation: strandwandeling, uitzichtpunt bij Kulki Lookout</t>
    </r>
  </si>
  <si>
    <t>85 km</t>
  </si>
  <si>
    <t>1u50</t>
  </si>
  <si>
    <t>https://www.google.com/maps/dir/?api=1&amp;origin=19-37%20Saint%20Crispins%20Avenue%2C%20Port%20Douglas%20QLD%204877%2C%20Australia&amp;destination=19-37%20Saint%20Crispins%20Avenue%2C%20Port%20Douglas%20QLD%204877%2C%20Australia&amp;travelmode=driving&amp;waypoints=Daintree%20Ferry%2C%20Cape%20Tribulation%20Road%2C%20Lower%20Daintree%20QLD%2C%20Australia%7CDaintree%20Rainforest%20Discovery%20Centre%2C%20Cow%20Bay%20QLD%2C%20Australia%7CKulki%20Lookout%2C%20Cape%20Tribulation%20QLD%2C%20Australia%7CCape%20Tribulation%20Beach%2C%20QLD%2C%20Australia</t>
  </si>
  <si>
    <t>Koh Lanta</t>
  </si>
  <si>
    <t>Dag 5 – Byron bay
- Strand 
- Mullumbimby ??</t>
  </si>
  <si>
    <t>- 09:30 Vertrek via Malibu – meerdere strandstops mogelijk.
- El Matador Beach – wilde rotsachtige stranden, mooie foto's.
- Zuma Beach – brede zandsstranden, goed voor kinderen.
- 13:00 Lunch in Malibu.
- 14:30 Aankomst Venice Beach.</t>
  </si>
  <si>
    <t>Educatief &amp; actief</t>
  </si>
  <si>
    <t>https://www.google.com/maps/dir/?api=1&amp;origin=1%20Bundaleer%20Road%2C%20Broken%20Head%20NSW%202481%2C%20Australia&amp;destination=1%20Bundaleer%20Road%2C%20Broken%20Head%20NSW%202481%2C%20Australia&amp;travelmode=driving&amp;waypoints=Main%20Beach%2C%20Byron%20Bay%20NSW%2C%20Australia%7CMullumbimby%20NSW%2C%20Australia</t>
  </si>
  <si>
    <t>https://www.sainaamlanta.com/</t>
  </si>
  <si>
    <t>https://www.google.com/maps/dir/?api=1&amp;origin=180%20Avenue%20of%20Flags%2C%20Buellton%2C%20CA%2093427&amp;destination=14000%20Palawan%20Way%2C%20Marina%20del%20Rey%2C%20CA%2090292&amp;travelmode=driving&amp;waypoints=Zuma%20Beach%2C%20Malibu%2C%20CA%7CEl%20Matador%20State%20Beach%2C%20Malibu%2C%20CA%7CMalibu%20Pier%2C%20Malibu%2C%20CA%7CVenice%20Beach%2C%20Los%20Angeles%2C%20CA</t>
  </si>
  <si>
    <r>
      <rPr>
        <color rgb="FF1155CC"/>
        <u/>
      </rPr>
      <t>https://www.komoot.com/nl-nl/tour/2798963717</t>
    </r>
    <r>
      <rPr/>
      <t xml:space="preserve"> 
</t>
    </r>
  </si>
  <si>
    <r>
      <rPr>
        <rFont val="Calibri"/>
        <b/>
        <color theme="1"/>
      </rPr>
      <t xml:space="preserve">Dag 4 – Low Isles snorkeltour
</t>
    </r>
    <r>
      <rPr>
        <rFont val="Calibri"/>
        <color theme="1"/>
      </rPr>
      <t xml:space="preserve">- Ochtend: halve dag snorkeltour naar de Low Isles (zeeschildpadden, koraal, vissen)
- Middag: ontspanning in Port Douglas
</t>
    </r>
    <r>
      <rPr>
        <rFont val="Calibri"/>
        <color rgb="FFFF0000"/>
      </rPr>
      <t>-  WAGS bij de jachthaven 15:30 aanwezig!!  (leuke ervaring en lekker eten)</t>
    </r>
  </si>
  <si>
    <t xml:space="preserve"> https://pdyc.org/sailing-port-douglas/</t>
  </si>
  <si>
    <t xml:space="preserve">Dag 6 –  Byron bay </t>
  </si>
  <si>
    <t>https://www.google.com/maps/dir/?api=1&amp;origin=1%20Bundaleer%20Road%2C%20Broken%20Head%20NSW%202481%2C%20Australia&amp;destination=1%20Bundaleer%20Road%2C%20Broken%20Head%20NSW%202481%2C%20Australia&amp;travelmode=driving&amp;waypoints=Byron%20Bay%20NSW%2C%20Australia</t>
  </si>
  <si>
    <t>https://www.google.com/maps/dir/?api=1&amp;origin=19-37%20Saint%20Crispins%20Avenue%2C%20Port%20Douglas%20QLD%204877%2C%20Australia&amp;destination=19-37%20Saint%20Crispins%20Avenue%2C%20Port%20Douglas%20QLD%204877%2C%20Australia&amp;travelmode=driving&amp;waypoints=Crystalbrook%20Superyacht%20Marina%2C%20Wharf%20Street%2C%20Port%20Douglas%20QLD%2C%20Australia%7CPort%20Douglas%20Yacht%20Club%2C%201%20Spinnaker%20Close%2C%20Port%20Douglas%20QLD%2C%20Australia</t>
  </si>
  <si>
    <t>Los Angeles</t>
  </si>
  <si>
    <r>
      <rPr>
        <rFont val="Calibri"/>
        <b/>
        <color theme="1"/>
      </rPr>
      <t>Dag 1 – Hollywood &amp; Griffith Park</t>
    </r>
    <r>
      <rPr>
        <rFont val="Calibri"/>
        <color theme="1"/>
      </rPr>
      <t xml:space="preserve">
- 09:00 Hollywood Walk of Fame &amp; TCL Chinese Theatre.
- 10:30 Dolby Theatre (bekend van de Oscars).
- 12:00 Lunch in Hollywood.
- 13:30 Griffith Park – DASH bus of Uber (parkeren is drama).
- 14:00 Griffith Observatory – uitzicht over de stad én Hollywood Sign.
- 17:30 Zonsondergang bij het observatorium.
- Optioneel: kleine hike richting Hollywood Sign </t>
    </r>
  </si>
  <si>
    <t>https://www.google.com/maps/dir/?api=1&amp;origin=14000%20Palawan%20Way%2C%20Marina%20del%20Rey%2C%20CA%2090292&amp;destination=14000%20Palawan%20Way%2C%20Marina%20del%20Rey%2C%20CA%2090292&amp;travelmode=driving&amp;waypoints=Hollywood%20Walk%20of%20Fame%2C%20Los%20Angeles%2C%20CA%7CTCL%20Chinese%20Theatre%2C%20Los%20Angeles%2C%20CA%7CDolby%20Theatre%2C%20Los%20Angeles%2C%20CA%7CGriffith%20Observatory%2C%20Los%20Angeles%2C%20CA</t>
  </si>
  <si>
    <t>Dag 7 –   Byron bay → Springbrook National Park 
- Natural Bridge (glow worms)
- Purling Brook Falls
- Regenwoudwandelingen</t>
  </si>
  <si>
    <t>Goede schoenen meenemen</t>
  </si>
  <si>
    <t>https://www.google.com/maps/dir/?api=1&amp;origin=1%20Bundaleer%20Road%2C%20Broken%20Head%20NSW%202481%2C%20Australia&amp;destination=8%20Canyon%20Parade%2C%20Springbrook%20QLD%204213%2C%20Australia&amp;travelmode=driving&amp;waypoints=Natural%20Bridge%2C%20Springbrook%20National%20Park%20QLD%2C%20Australia%7CPurling%20Brook%20Falls%2C%20Springbrook%20QLD%2C%20Australia</t>
  </si>
  <si>
    <r>
      <rPr>
        <rFont val="Calibri"/>
        <b/>
        <color theme="1"/>
      </rPr>
      <t xml:space="preserve">Dag 5 – Wildlife Sanctuary &amp; stranddag
</t>
    </r>
    <r>
      <rPr>
        <rFont val="Calibri"/>
        <color theme="1"/>
      </rPr>
      <t>- Bezoek aan het Rainforest Habitat Wildlife Sanctuary
- Middag: relaxen aan Four Mile Beach of vrije tijd bij het resort
- Avondwandeling langs de boulevard en diner in Port Douglas</t>
    </r>
  </si>
  <si>
    <t>https://www.google.com/maps/dir/?api=1&amp;origin=19-37%20Saint%20Crispins%20Avenue%2C%20Port%20Douglas%20QLD%204877%2C%20Australia&amp;destination=19-37%20Saint%20Crispins%20Avenue%2C%20Port%20Douglas%20QLD%204877%2C%20Australia&amp;travelmode=driving&amp;waypoints=Wildlife%20Habitat%20Port%20Douglas%2C%201%20Port%20Douglas%20Road%2C%20Port%20Douglas%20QLD%2C%20Australia%7CFour%20Mile%20Beach%2C%20Port%20Douglas%20QLD%2C%20Australia%7CMacrossan%20Street%2C%20Port%20Douglas%20QLD%2C%20Australia</t>
  </si>
  <si>
    <t>Ao Nang / Railay</t>
  </si>
  <si>
    <t>Dag 8 –  Lamington NT → Tin Can Bay of Rainbow beach
- Rit van 4 uur</t>
  </si>
  <si>
    <t>https://www.booking.com/hotel/th/poonsiri-resort.nl.html?label=gen173nr-10CAso3QFCD3Bvb25zaXJpLXJlc29ydEgzWARoqQGIAQGYATO4ARfIAQzYAQPoAQH4AQGIAgGoAgG4AvbJotAGwAIB0gIkNjAzNDc4N2MtODVkZS00NjZiLWJiZGEtNDgwODk5ODI5ZDky2AIB4AIB&amp;sid=448afc7b286e4e2e61954b9d409d4932&amp;age=10&amp;age=8&amp;dist=0&amp;group_adults=2&amp;group_children=2&amp;keep_landing=1&amp;no_rooms=1&amp;sb_price_type=total&amp;type=total&amp;</t>
  </si>
  <si>
    <t>https://www.google.com/maps/dir/?api=1&amp;origin=8%20Canyon%20Parade%2C%20Springbrook%20QLD%204213%2C%20Australia&amp;destination=48%2F5%20Rainbow%20Shores%20Drive%2C%20Rainbow%20Beach%20QLD%204581%2C%20Australia&amp;travelmode=driving</t>
  </si>
  <si>
    <r>
      <rPr>
        <rFont val="Calibri"/>
        <b/>
        <color theme="1"/>
      </rPr>
      <t>Dag 2 – Stranden &amp; relaxen</t>
    </r>
    <r>
      <rPr>
        <rFont val="Calibri"/>
        <color theme="1"/>
      </rPr>
      <t xml:space="preserve">
- 09:00 Santa Monica Pier &amp; Beach – iconisch, leuk met kinderen.
- 10:30 Fietstocht Venice Beach → Santa Monica (huur e-bikes of fietsen).
- 12:30 Lunch op de boulevard.
- 14:00 Venice Canals – charmante wandeling langs bruggetjes en kanalen.
- 16:00 Vrije tijd / zwemmen.
- 18:30 Diner bij Third Street Promenade, Santa Monica.</t>
    </r>
  </si>
  <si>
    <r>
      <rPr>
        <rFont val="Calibri"/>
        <b/>
        <color theme="1"/>
      </rPr>
      <t xml:space="preserve">Dag 6 – Wildlife Sanctuary &amp; stranddag
</t>
    </r>
    <r>
      <rPr>
        <rFont val="Calibri"/>
        <color theme="1"/>
      </rPr>
      <t>- Bezoek aan het Rainforest Habitat Wildlife Sanctuary
- Middag: relaxen aan Four Mile Beach of vrije tijd bij het resort
- Avondwandeling langs de boulevard en diner in Port Douglas</t>
    </r>
  </si>
  <si>
    <t>https://www.google.com/maps/dir/?api=1&amp;origin=14000%20Palawan%20Way%2C%20Marina%20del%20Rey%2C%20CA%2090292&amp;destination=14000%20Palawan%20Way%2C%20Marina%20del%20Rey%2C%20CA%2090292&amp;travelmode=bicycling&amp;waypoints=Santa%20Monica%20Pier%2C%20Santa%20Monica%2C%20CA%7CVenice%20Beach%20Skatepark%2C%20Los%20Angeles%2C%20CA%7CVenice%20Canals%2C%20Los%20Angeles%2C%20CA%7CThird%20Street%20Promenade%2C%20Santa%20Monica%2C%20CA</t>
  </si>
  <si>
    <r>
      <rPr>
        <rFont val="Calibri"/>
        <b/>
        <color theme="1"/>
      </rPr>
      <t xml:space="preserve">Dag 7 – Vrije dag / extra excursie
</t>
    </r>
    <r>
      <rPr>
        <rFont val="Calibri"/>
        <color theme="1"/>
      </rPr>
      <t>- genieten van zwembad, strand</t>
    </r>
  </si>
  <si>
    <r>
      <rPr>
        <color rgb="FF1155CC"/>
        <u/>
      </rPr>
      <t>River Drift Experience - Daintree Rainforest - Back Country Bliss Adventures</t>
    </r>
  </si>
  <si>
    <t>Dag 9 – Rainbowbeach  
- Tin can bay (dofijnen voeren) om 07:00 aanwezig zijn
- Strand of excursie</t>
  </si>
  <si>
    <t>Niet hele walk lopen met kinderen</t>
  </si>
  <si>
    <t>https://www.google.com/maps/dir/?api=1&amp;origin=48%2F5%20Rainbow%20Shores%20Drive%2C%20Rainbow%20Beach%20QLD%204581%2C%20Australia&amp;destination=48%2F5%20Rainbow%20Shores%20Drive%2C%20Rainbow%20Beach%20QLD%204581%2C%20Australia&amp;travelmode=driving&amp;waypoints=Barnacles%20Dolphin%20Centre%2C%20Tin%20Can%20Bay%20QLD%2C%20Australia%7CRainbow%20Beach%20QLD%2C%20Australia</t>
  </si>
  <si>
    <t>https://www.google.com/maps/dir/?api=1&amp;origin=19-37%20Saint%20Crispins%20Avenue%2C%20Port%20Douglas%20QLD%204877%2C%20Australia&amp;destination=19-37%20Saint%20Crispins%20Avenue%2C%20Port%20Douglas%20QLD%204877%2C%20Australia&amp;travelmode=walking&amp;waypoints=Four%20Mile%20Beach%2C%20Port%20Douglas%20QLD%2C%20Australia</t>
  </si>
  <si>
    <t>Los Angeles → Anaheim</t>
  </si>
  <si>
    <r>
      <rPr>
        <rFont val="Calibri"/>
        <b/>
        <color theme="1"/>
      </rPr>
      <t xml:space="preserve">Dag 3 – Cultuur &amp; Downtown LA
</t>
    </r>
    <r>
      <rPr>
        <rFont val="Calibri"/>
        <color theme="1"/>
      </rPr>
      <t>- 09:30 The Broad Museum (gratis, reserveren!) of LACMA – kies één.
- Walt Disney Concert Hall – architectonisch hoogtepunt, buiten bekijken.
- El Pueblo de Los Angeles – historische wijk met Mexicaanse invloeden.
- Lunch in Little Tokyo of Chinatown.
- 14:30 Rijden naar Anaheim.</t>
    </r>
  </si>
  <si>
    <t>Dag 10 – Noosa 
- Strand Main Beach of Little Cove</t>
  </si>
  <si>
    <t>Atherton Tablelands (via Mareeba)</t>
  </si>
  <si>
    <t>https://www.google.com/maps/dir/?api=1&amp;origin=14000%20Palawan%20Way%2C%20Marina%20del%20Rey%2C%20CA%2090292&amp;destination=11767%20Harbor%20Boulevard%2C%20Garden%20Grove%2C%20CA%2092840&amp;travelmode=driving&amp;waypoints=The%20Broad%2C%20Los%20Angeles%2C%20CA%7CWalt%20Disney%20Concert%20Hall%2C%20Los%20Angeles%2C%20CA%7CEl%20Pueblo%20de%20Los%20Angeles%20Historical%20Monument%2C%20Los%20Angeles%2C%20CA%7CLittle%20Tokyo%2C%20Los%20Angeles%2C%20CA</t>
  </si>
  <si>
    <t>https://www.booking.com/hotel/th/baan-karon-resort.nl.html?label=metagha-link-MRNL-hotel-42679_dev-desktop_los-1_bw-25_dow-Sunday_defdate-1_room-0_gstadt-2_rateid-public_aud-0_gacid-21415134391_mcid-50_bc-AACmtw_ppa-0_clrid-0_ad-1_gstkid-0_checkin-20260503_ppt-CgB_lp-2528_r-13825456660457007468&amp;sid=58385233827b3dc4126ecb2cfd20fd81&amp;aid=1288240&amp;ucfs=1&amp;checkin=2027-02-08&amp;checkout=2027-02-11&amp;dest_id=-3253342&amp;dest_type=city&amp;group_adults=2&amp;no_rooms=1&amp;group_children=2&amp;age=10&amp;req_age=10&amp;age=8&amp;req_age=8&amp;nflt=price%3DEUR-min-160-1%3Bmealplan%3D1%3Bhotelfacility%3D433&amp;srpvid=d7cd86a363ad00fd&amp;srepoch=1778872219&amp;matching_block_id=26903371_414125192_0_1_0&amp;atlas_src=sr_iw_title#_</t>
  </si>
  <si>
    <t>Vooraf boeken</t>
  </si>
  <si>
    <r>
      <rPr>
        <rFont val="Calibri"/>
        <b/>
        <color theme="1"/>
      </rPr>
      <t xml:space="preserve">Dag 8 – Port Douglas → Atherton Tablelands (via Mareeba) (Yungaburra)
</t>
    </r>
    <r>
      <rPr>
        <rFont val="Calibri"/>
        <color theme="1"/>
      </rPr>
      <t>- Rit via Mareeba naar de Atherton Tablelands (ca. 2 uur)
- Stop bij koffie- en theetuinen in Mareeba
- Bezoek Granite Gorge (rotswallaby’s)</t>
    </r>
  </si>
  <si>
    <t>https://www.google.com/maps/dir/?api=1&amp;origin=48%2F5%20Rainbow%20Shores%20Drive%2C%20Rainbow%20Beach%20QLD%204581%2C%20Australia&amp;destination=19%20Katharina%20Street%2C%20Noosa%20Heads%20QLD%204567%2C%20Australia&amp;travelmode=driving&amp;waypoints=Noosa%20Main%20Beach%2C%20Noosa%20Heads%20QLD%2C%20Australia</t>
  </si>
  <si>
    <t>120 km</t>
  </si>
  <si>
    <t>2u</t>
  </si>
  <si>
    <t>https://www.google.com/maps/dir/?api=1&amp;origin=19-37%20Saint%20Crispins%20Avenue%2C%20Port%20Douglas%20QLD%204877%2C%20Australia&amp;destination=7%20Rykers%20Road%2C%20Cape%20Tribulation%20QLD%204873%2C%20Australia&amp;travelmode=driving&amp;waypoints=Coffee%20Works%20Mareeba%2C%20136%20Mason%20Street%2C%20Mareeba%20QLD%204880%2C%20Australia%7CGranite%20Gorge%20Nature%20Park%2C%20Chewko%20Road%2C%20Mareeba%20QLD%2C%20Australia</t>
  </si>
  <si>
    <t>Dag 11 – Noosa Everglades
- Boottocht of kajak</t>
  </si>
  <si>
    <t>https://www.google.com/maps/dir/?api=1&amp;origin=19%20Katharina%20Street%2C%20Noosa%20Heads%20QLD%204567%2C%20Australia&amp;destination=19%20Katharina%20Street%2C%20Noosa%20Heads%20QLD%204567%2C%20Australia&amp;travelmode=driving&amp;waypoints=Habitat%20Noosa%20Everglades%20Eco%20Camp%2C%20Cootharaba%20QLD%2C%20Australia</t>
  </si>
  <si>
    <t>Anaheim</t>
  </si>
  <si>
    <t>DISNEY</t>
  </si>
  <si>
    <t>Atherton Tablelands</t>
  </si>
  <si>
    <r>
      <rPr>
        <rFont val="Calibri"/>
        <b/>
        <color theme="1"/>
      </rPr>
      <t xml:space="preserve">Dag 9 – Atherton Tablelands (watervallenroute)
</t>
    </r>
    <r>
      <rPr>
        <rFont val="Calibri"/>
        <color theme="1"/>
      </rPr>
      <t>- Lake Eacham (±1 uur)
- Lake Barrine (±45 min)
- Start de Waterfall Circuit:
- Millaa Millaa Falls, Zillie Falls, Ellinjaa Falls
- Curtain Fig Tree bij Yungaburra
- Babinda Boulders (zwemmen in de natuurlijke poelen)</t>
    </r>
  </si>
  <si>
    <t>100 km</t>
  </si>
  <si>
    <t>Vroeg platypus kijken in Yungaburra</t>
  </si>
  <si>
    <t>https://www.google.com/maps/dir/?api=1&amp;origin=7%20Rykers%20Road%2C%20Cape%20Tribulation%20QLD%204873%2C%20Australia&amp;destination=Eacham%20Close%2C%20Lake%20Eacham%20QLD%204884%2C%20Australia&amp;travelmode=driving&amp;waypoints=Lake%20Barrine%2C%20QLD%2C%20Australia%7CCurtain%20Fig%20Tree%2C%20Yungaburra%20QLD%2C%20Australia%7CMillaa%20Millaa%20Falls%2C%20QLD%2C%20Australia%7CZillie%20Falls%2C%20QLD%2C%20Australia%7CEllinjaa%20Falls%2C%20QLD%2C%20Australia</t>
  </si>
  <si>
    <t>https://www.google.com/maps/dir/?api=1&amp;origin=11767%20Harbor%20Boulevard%2C%20Garden%20Grove%2C%20CA%2092840&amp;destination=11767%20Harbor%20Boulevard%2C%20Garden%20Grove%2C%20CA%2092840&amp;travelmode=driving&amp;waypoints=Mickey%20and%20Friends%20Parking%20Structure%2C%20Anaheim%2C%20CA</t>
  </si>
  <si>
    <t>Dag 12 – Noosa National Park &amp; strand
- Coastal Walk (gedeeltelijk), Kans op dolfijnen &amp; koala’s</t>
  </si>
  <si>
    <t>https://www.google.com/maps/dir/?api=1&amp;origin=19%20Katharina%20Street%2C%20Noosa%20Heads%20QLD%204567%2C%20Australia&amp;destination=19%20Katharina%20Street%2C%20Noosa%20Heads%20QLD%204567%2C%20Australia&amp;travelmode=walking&amp;waypoints=Noosa%20National%20Park%20Carpark%2C%20Noosa%20Heads%20QLD%2C%20Australia%7CDolphin%20Point%20Lookout%2C%20Noosa%20Heads%20QLD%2C%20Australia%7CLittle%20Cove%20Beach%2C%20Noosa%20Heads%20QLD%2C%20Australia</t>
  </si>
  <si>
    <t>Terug naar Cairns</t>
  </si>
  <si>
    <r>
      <rPr>
        <rFont val="Calibri"/>
        <b/>
        <color theme="1"/>
      </rPr>
      <t xml:space="preserve">Dag 10 – Atherton Tablelands → Cairns / northern beaches
</t>
    </r>
    <r>
      <rPr>
        <rFont val="Calibri"/>
        <color theme="1"/>
      </rPr>
      <t>- Babinda Boulders (ochtend) (±1–1,5 uur)
- Kuranda
- Barron Falls Lookout – korte maar indrukwekkende stop
- Kuranda Village (marktjes, ijsje, souvenirs)
- Optioneel: stop bij Josephine Falls of Walshs Pyramid uitzichtpunt onderweg</t>
    </r>
  </si>
  <si>
    <t>2 uur</t>
  </si>
  <si>
    <t>Lunchstop Kuranda Village</t>
  </si>
  <si>
    <t>https://www.google.com/maps/dir/?api=1&amp;origin=Eacham%20Close%2C%20Lake%20Eacham%20QLD%204884%2C%20Australia&amp;destination=18-26%20Cannon%20Street%2C%20Manunda%20QLD%204870%2C%20Australia&amp;travelmode=driving&amp;waypoints=Babinda%20Boulders%2C%20Babinda%20QLD%2C%20Australia%7CJosephine%20Falls%2C%20Wooroonooran%20QLD%2C%20Australia%7CWalshs%20Pyramid%20Lookout%2C%20Gordonvale%20QLD%2C%20Australia%7CKuranda%20Village%2C%20Kuranda%20QLD%2C%20Australia%7CBarron%20Falls%20Lookout%2C%20Kuranda%20QLD%2C%20Australia</t>
  </si>
  <si>
    <t>Anaheim → Joshua Tree → Kingman</t>
  </si>
  <si>
    <t>Maleny / Montville</t>
  </si>
  <si>
    <t>Dag 13 – Noosa → Sunshine coast Hinterland
- Rit naar Maleny / Beerwa
- Montville dorpje &amp; uitzicht
- Glass House Mountains (wandeling met uitzicht)</t>
  </si>
  <si>
    <t>- 07:30 Vroeg vertrek – lange dag!
- 10:00 Joshua Tree National Park – Keys View (panoramisch uitzicht).
- Korte hike: Skull Rock Nature Trail (2,7 km, kindvriendelijk).
- 12:30 Picknick of lunch in/bij de park.</t>
  </si>
  <si>
    <t>Phuket ➔ Doha ochtend  V 09:05 - A 12.30</t>
  </si>
  <si>
    <t>Australia Zoo = hele dag</t>
  </si>
  <si>
    <t>https://www.google.com/maps/dir/?api=1&amp;origin=19%20Katharina%20Street%2C%20Noosa%20Heads%20QLD%204567%2C%20Australia&amp;destination=123%20Old%20Peachester%20Road%2C%20Beerwah%20QLD%2C%20Australia&amp;travelmode=driving&amp;waypoints=Montville%20QLD%2C%20Australia%7CMaleny%20QLD%2C%20Australia%7CGlass%20House%20Mountains%20Lookout%2C%20Glass%20House%20Mountains%20QLD%2C%20Australia</t>
  </si>
  <si>
    <t>https://www.google.com/maps/dir/?api=1&amp;origin=11767%20Harbor%20Boulevard%2C%20Garden%20Grove%2C%20CA%2092840&amp;destination=2815%20East%20Andy%20Devine%20Avenue%2C%20Kingman%2C%20AZ%2086401&amp;travelmode=driving&amp;waypoints=Joshua%20Tree%20National%20Park%20West%20Entrance%2C%20CA%7CKeys%20View%2C%20Joshua%20Tree%20National%20Park%2C%20CA%7CSkull%20Rock%2C%20Joshua%20Tree%20National%20Park%2C%20CA%7CJoshua%20Tree%20National%20Park%20North%20Entrance%2C%20CA</t>
  </si>
  <si>
    <t xml:space="preserve">Doha </t>
  </si>
  <si>
    <t>Dag 14 – Vertrek naar Cairns
- Auto inleveren
- Vlucht verder</t>
  </si>
  <si>
    <t>Cairns naar Sydney</t>
  </si>
  <si>
    <t>Laatste souvenirs</t>
  </si>
  <si>
    <t>https://www.google.com/maps/dir/?api=1&amp;origin=123%20Old%20Peachester%20Road%2C%20Beerwah%20QLD%2C%20Australia&amp;destination=Brisbane%20Airport%20Car%20Rental%20Returns%2C%20Brisbane%20Airport%20QLD%204008%2C%20Australia&amp;travelmode=driving</t>
  </si>
  <si>
    <r>
      <rPr>
        <rFont val="Calibri"/>
        <b/>
        <color theme="1"/>
      </rPr>
      <t xml:space="preserve">Dag 11 – Cairns → Sydney
</t>
    </r>
    <r>
      <rPr>
        <rFont val="Calibri"/>
        <color theme="1"/>
      </rPr>
      <t>- Rit terug naar Cairns</t>
    </r>
  </si>
  <si>
    <t>https://www.google.com/maps/dir/?api=1&amp;origin=18-26%20Cannon%20Street%2C%20Manunda%20QLD%204870%2C%20Australia&amp;destination=Cairns%20Airport%20Domestic%20Terminal%2C%20Cairns%20Airport%20QLD%204870%2C%20Australia&amp;travelmode=driving</t>
  </si>
  <si>
    <t>Doha ➔ Arusha V 08:15 - A 16:35</t>
  </si>
  <si>
    <r>
      <rPr>
        <color rgb="FF1155CC"/>
        <u/>
      </rPr>
      <t>https://www.komoot.com/nl-nl/tour/2614761117</t>
    </r>
    <r>
      <rPr/>
      <t xml:space="preserve"> 
</t>
    </r>
    <r>
      <rPr>
        <color rgb="FF1155CC"/>
        <u/>
      </rPr>
      <t>https://www.komoot.com/nl-nl/tour/2702560442</t>
    </r>
    <r>
      <rPr/>
      <t xml:space="preserve"> 
</t>
    </r>
    <r>
      <rPr>
        <color rgb="FF1155CC"/>
        <u/>
      </rPr>
      <t>https://www.komoot.com/nl-nl/tour/2614752433</t>
    </r>
    <r>
      <rPr/>
      <t xml:space="preserve"> 
</t>
    </r>
    <r>
      <rPr>
        <color rgb="FF1155CC"/>
        <u/>
      </rPr>
      <t>https://www.komoot.com/nl-nl/tour/2687144756</t>
    </r>
    <r>
      <rPr/>
      <t xml:space="preserve"> 
</t>
    </r>
    <r>
      <rPr>
        <color rgb="FF1155CC"/>
        <u/>
      </rPr>
      <t>https://www.komoot.com/nl-nl/tour/2687144846</t>
    </r>
    <r>
      <rPr/>
      <t xml:space="preserve"> 
</t>
    </r>
  </si>
  <si>
    <t>- 09:00 Vertrek via Route 66.
- Stop bij Seligman – historisch Route 66 stadje, Westside Lilo's Café.
- 14:00 Aankomst Tusayan 
- 14:45 IMAX Grand Canyon Movie in Tusayan (goede introductie voor kinderen).
- 16:00 Grand Canyon South Rim – Visitor Center &amp; Mather Point.
- 17:30 Hopi Point voor zonsondergang (shuttle Hermit Road) óf Yaki Point (eigen auto).
- 18:13 Zonsondergang South Rim.
- 19:00 Terug naar Tusayan voor diner.</t>
  </si>
  <si>
    <t>Tarangire</t>
  </si>
  <si>
    <t>https://www.google.com/maps/dir/?api=1&amp;origin=2815%20East%20Andy%20Devine%20Avenue%2C%20Kingman%2C%20AZ%2086401&amp;destination=226%20Highway%2064%2C%20Tusayan%2C%20AZ%2086023&amp;travelmode=driving&amp;waypoints=Seligman%2C%20AZ%7CGrand%20Canyon%20IMAX%20Theater%2C%20Tusayan%2C%20AZ%7CGrand%20Canyon%20Visitor%20Center%2C%20AZ%7CMather%20Point%2C%20Grand%20Canyon%2C%20AZ%7CGrand%20Canyon%20Village%2C%20AZ</t>
  </si>
  <si>
    <t>- 09:00 Terug naar South Rim.
- 09:30 Rim Trail – 5 km heen (evt bus terug), prachtige rand-wandeling.
- 11:00 Scenic Drive richting Desert View: Grandview, Moran &amp; Lipan Point.
- 12:30 Navajo Point – picknick (neem eigen eten mee).
- 14:30 Vertrek richting Kayenta.</t>
  </si>
  <si>
    <t>Ndutu</t>
  </si>
  <si>
    <t>https://www.google.com/maps/dir/?api=1&amp;origin=226%20Highway%2064%2C%20Tusayan%2C%20AZ%2086023&amp;destination=Hampton%20Inn%20Kayenta%2C%20US%20Highway%20160%2C%20Kayenta%2C%20AZ%2086033&amp;travelmode=driving&amp;waypoints=Mather%20Point%2C%20Grand%20Canyon%2C%20AZ%7CBright%20Angel%20Trailhead%2C%20Grand%20Canyon%2C%20AZ%7CGrandview%20Point%2C%20Grand%20Canyon%2C%20AZ%7CMoran%20Point%2C%20Grand%20Canyon%2C%20AZ%7CLipan%20Point%2C%20Grand%20Canyon%2C%20AZ%7CNavajo%20Point%2C%20Grand%20Canyon%2C%20AZ%7CDesert%20View%20Watchtower%2C%20Grand%20Canyon%2C%20AZ</t>
  </si>
  <si>
    <r>
      <rPr>
        <color rgb="FF1155CC"/>
        <u/>
      </rPr>
      <t>https://www.komoot.com/nl-nl/tour/2614048812</t>
    </r>
    <r>
      <rPr/>
      <t xml:space="preserve"> 
</t>
    </r>
    <r>
      <rPr>
        <color rgb="FF1155CC"/>
        <u/>
      </rPr>
      <t>https://www.komoot.com/nl-nl/tour/2614052612</t>
    </r>
    <r>
      <rPr/>
      <t xml:space="preserve"> 
</t>
    </r>
  </si>
  <si>
    <t>Serengeti</t>
  </si>
  <si>
    <r>
      <rPr>
        <rFont val="Calibri"/>
        <color theme="1"/>
      </rPr>
      <t xml:space="preserve">- 08:00 vertrek naar Monument valley
- </t>
    </r>
    <r>
      <rPr>
        <rFont val="Calibri"/>
        <b/>
        <color theme="1"/>
      </rPr>
      <t>09:00 Wildcat Trail (6,4 km)</t>
    </r>
    <r>
      <rPr>
        <rFont val="Calibri"/>
        <color theme="1"/>
      </rPr>
      <t xml:space="preserve"> – vroeg vanwege warmte, ook voor kinderen.
- Navajo Tribal Park – uitzichtpunten langs de Valley Drive (eigen auto, ~30 km lus).
- Lunch bij foodtruck of The View Restaurant.
- Middag: richting Mexican Hat → Forest Gump Point (Highway 163, iconische foto!).
- Goosenecks State Park – spectaculaire meanders van de San Juan River.</t>
    </r>
  </si>
  <si>
    <t>https://www.google.com/maps/dir/?api=1&amp;origin=Hampton%20Inn%20Kayenta%2C%20US%20Highway%20160%2C%20Kayenta%2C%20AZ%2086033&amp;destination=The%20View%20Hotel%2C%20Monument%20Valley%20Tribal%20Park%2C%20AZ%2084536&amp;travelmode=driving&amp;waypoints=Wildcat%20Trailhead%2C%20Monument%20Valley%2C%20AZ%7CJohn%20Ford's%20Point%2C%20Monument%20Valley%2C%20AZ%7CForrest%20Gump%20Point%2C%20Mexican%20Hat%2C%20UT%7CMexican%20Hat%2C%20UT%7CGoosenecks%20State%20Park%2C%20UT</t>
  </si>
  <si>
    <t>Karatu</t>
  </si>
  <si>
    <r>
      <rPr>
        <color rgb="FF1155CC"/>
        <u/>
      </rPr>
      <t>https://www.komoot.com/nl-nl/tour/2614787726</t>
    </r>
    <r>
      <rPr/>
      <t xml:space="preserve"> 
</t>
    </r>
    <r>
      <rPr>
        <color rgb="FF1155CC"/>
        <u/>
      </rPr>
      <t>https://www.komoot.com/nl-nl/tour/3015176711</t>
    </r>
    <r>
      <rPr/>
      <t xml:space="preserve"> 
</t>
    </r>
    <r>
      <rPr>
        <color rgb="FF1155CC"/>
        <u/>
      </rPr>
      <t>https://www.komoot.com/nl-nl/tour/2614807185</t>
    </r>
    <r>
      <rPr/>
      <t xml:space="preserve"> 
</t>
    </r>
    <r>
      <rPr>
        <color rgb="FF1155CC"/>
        <u/>
      </rPr>
      <t>https://www.komoot.com/nl-nl/tour/2614793120</t>
    </r>
    <r>
      <rPr/>
      <t xml:space="preserve"> 
</t>
    </r>
    <r>
      <rPr>
        <color rgb="FF1155CC"/>
        <u/>
      </rPr>
      <t>https://www.komoot.com/nl-nl/tour/2614804991</t>
    </r>
    <r>
      <rPr/>
      <t xml:space="preserve"> 
</t>
    </r>
  </si>
  <si>
    <r>
      <rPr>
        <rFont val="Calibri"/>
        <color theme="1"/>
      </rPr>
      <t xml:space="preserve">- </t>
    </r>
    <r>
      <rPr>
        <rFont val="Calibri"/>
        <b/>
        <color theme="1"/>
      </rPr>
      <t>09:10 Vertrek uiterlijk</t>
    </r>
    <r>
      <rPr>
        <rFont val="Calibri"/>
        <color theme="1"/>
      </rPr>
      <t xml:space="preserve"> – Canyon-X tour (2u 20 rijden.
- Canyon-X bezoek om </t>
    </r>
    <r>
      <rPr>
        <rFont val="Calibri"/>
        <b/>
        <color rgb="FFFF0000"/>
      </rPr>
      <t>11:40</t>
    </r>
    <r>
      <rPr>
        <rFont val="Calibri"/>
        <color theme="1"/>
      </rPr>
      <t>.
- Horseshoe Bend – 1,5 uur retour wandeling (let op: geen hekken, pas op met kinderen).
- Lunch in Page.
- 15:00 Rijden naar Kanab (~1-1,5 uur).</t>
    </r>
  </si>
  <si>
    <t>https://www.google.com/maps/dir/?api=1&amp;origin=The%20View%20Hotel%2C%20Monument%20Valley%20Tribal%20Park%2C%20AZ%2084536&amp;destination=217%20South%20100%20East%2C%20Kanab%2C%20UT%2084741&amp;travelmode=driving&amp;waypoints=Antelope%20Canyon%20X%20by%20Taadidiin%20Tours%2C%20AZ%7CHorseshoe%20Bend%2C%20Page%2C%20AZ%7CPage%2C%20AZ</t>
  </si>
  <si>
    <t>AANKOMST Amsterdam</t>
  </si>
  <si>
    <r>
      <rPr/>
      <t xml:space="preserve">- 09:00 Vertrek richting Bryce Canyon.
- Navajo Loop Trail (2,4 km) – door hoodoos, kindvriendelijk maar steil omhoog.
 Combineer met Peek-a-Boo Loop = totaal ~8 km (voor fitte kinderen).
- Lunch bij het park of Bryce Canyon City.
- Bristlecone Loop Trail (2 km, mooie oude pijnbomen).
- Bryce point naar Inspiration 2,7km of sunset point 3,7 km (rim trail shuttle bus nemen)
- Zonsondergang bij Bryce Point.
</t>
    </r>
    <r>
      <rPr>
        <color rgb="FF1155CC"/>
        <u/>
      </rPr>
      <t>https://www.nps.gov/brca/planyourvisit/shuttle.htm</t>
    </r>
  </si>
  <si>
    <t>https://www.google.com/maps/dir/?api=1&amp;origin=217%20South%20100%20East%2C%20Kanab%2C%20UT%2084741&amp;destination=Bryce%20Vistas%2C%20270%20East%201250%20North%2C%20Tropic%2C%20UT%2084776&amp;travelmode=driving&amp;waypoints=Sunset%20Point%2C%20Bryce%20Canyon%20National%20Park%2C%20UT%7CRainbow%20Point%2C%20Bryce%20Canyon%20National%20Park%2C%20UT%7CInspiration%20Point%2C%20Bryce%20Canyon%20National%20Park%2C%20UT%7CBryce%20Point%2C%20Bryce%20Canyon%20National%20Park%2C%20UT</t>
  </si>
  <si>
    <r>
      <rPr>
        <color rgb="FF1155CC"/>
        <u/>
      </rPr>
      <t>https://www.komoot.com/nl-nl/tour/2688381072</t>
    </r>
    <r>
      <rPr/>
      <t xml:space="preserve"> 
</t>
    </r>
    <r>
      <rPr>
        <color rgb="FF1155CC"/>
        <u/>
      </rPr>
      <t>https://www.komoot.com/nl-nl/tour/2688359078</t>
    </r>
    <r>
      <rPr/>
      <t xml:space="preserve"> 
</t>
    </r>
    <r>
      <rPr>
        <color rgb="FF1155CC"/>
        <u/>
      </rPr>
      <t>https://www.komoot.com/nl-nl/tour/2688333419</t>
    </r>
    <r>
      <rPr/>
      <t xml:space="preserve"> 
</t>
    </r>
    <r>
      <rPr>
        <color rgb="FF1155CC"/>
        <u/>
      </rPr>
      <t>https://www.komoot.com/nl-nl/tour/2688333470</t>
    </r>
    <r>
      <rPr/>
      <t xml:space="preserve"> 
</t>
    </r>
    <r>
      <rPr>
        <color rgb="FF1155CC"/>
        <u/>
      </rPr>
      <t>https://www.komoot.com/nl-nl/tour/2688334893</t>
    </r>
    <r>
      <rPr/>
      <t xml:space="preserve"> 
</t>
    </r>
    <r>
      <rPr>
        <color rgb="FF1155CC"/>
        <u/>
      </rPr>
      <t>https://www.komoot.com/nl-nl/tour/2688356249</t>
    </r>
    <r>
      <rPr/>
      <t xml:space="preserve"> 
</t>
    </r>
    <r>
      <rPr>
        <color rgb="FF1155CC"/>
        <u/>
      </rPr>
      <t>https://www.komoot.com/nl-nl/tour/3018387564</t>
    </r>
    <r>
      <rPr/>
      <t xml:space="preserve"> 
</t>
    </r>
    <r>
      <rPr>
        <color rgb="FF1155CC"/>
        <u/>
      </rPr>
      <t>https://www.komoot.com/nl-nl/tour/2688338966</t>
    </r>
    <r>
      <rPr/>
      <t xml:space="preserve"> 
</t>
    </r>
    <r>
      <rPr>
        <color rgb="FF1155CC"/>
        <u/>
      </rPr>
      <t>https://www.komoot.com/nl-nl/tour/2688394606</t>
    </r>
    <r>
      <rPr/>
      <t xml:space="preserve"> 
</t>
    </r>
  </si>
  <si>
    <t>- 08:00 Ochtendwandeling nog in Bryce (golden hour 07:00 -08:30).
- 10:00 Vertrek via Red Canyon richting Zion.
- Evt. lunch bij Archie's Food to Die For (GF-opties) onderweg.
- Aankomst Zion – Canyon Overlook Trail (parkeer eerste vrije plek DRUK!!).
- Watchman Trail als Canyon Overlook te druk is (3,3 km, mooi uitzicht).
- Inchecken The Riv at Zion, Virgin (239 UT-9).
- Zwemmen bij accommodatie.</t>
  </si>
  <si>
    <t>https://www.google.com/maps/dir/?api=1&amp;origin=Bryce%20Vistas%2C%20270%20East%201250%20North%2C%20Tropic%2C%20UT%2084776&amp;destination=865%20Zion%20Park%20Boulevard%2C%20Springdale%2C%20UT%2084767&amp;travelmode=driving&amp;waypoints=Sunrise%20Point%2C%20Bryce%20Canyon%20National%20Park%2C%20UT%7CRed%20Canyon%20Visitor%20Center%2C%20UT%7CArchie's%20Food%20to%20Die%20For%2C%20Orderville%2C%20UT%7CCanyon%20Overlook%20Trailhead%2C%20Zion%20National%20Park%2C%20UT</t>
  </si>
  <si>
    <r>
      <rPr>
        <color rgb="FF1155CC"/>
        <u/>
      </rPr>
      <t>https://www.komoot.com/nl-nl/tour/2614846720</t>
    </r>
    <r>
      <rPr/>
      <t xml:space="preserve"> 
</t>
    </r>
    <r>
      <rPr>
        <color rgb="FF1155CC"/>
        <u/>
      </rPr>
      <t>https://www.komoot.com/nl-nl/tour/3018369235</t>
    </r>
    <r>
      <rPr/>
      <t xml:space="preserve"> 
</t>
    </r>
  </si>
  <si>
    <r>
      <rPr>
        <rFont val="Calibri"/>
        <b/>
        <color theme="1"/>
      </rPr>
      <t xml:space="preserve">- 07:30 Canyon Overlook Trail vroeg in de ochtend (als vorige dag te druk).
</t>
    </r>
    <r>
      <rPr>
        <rFont val="Calibri"/>
        <color theme="1"/>
      </rPr>
      <t>- 09:30 Shuttle naar Temple of Sinawava.
- Riverside Walk (3,2 km, kindvriendelijk, verhard pad).
- The Narrows – gedeeltelijk, tot waar het kindvriendelijk is (</t>
    </r>
    <r>
      <rPr>
        <rFont val="Calibri"/>
        <b/>
        <color rgb="FFFF0000"/>
      </rPr>
      <t>waterschoenen mee!</t>
    </r>
    <r>
      <rPr>
        <rFont val="Calibri"/>
        <color theme="1"/>
      </rPr>
      <t>).
- Middag: terug naar appartement, zwemmen en rusten.
- Avond: Watchman Trail (evt Bas alleen of rustige gezinsversie).</t>
    </r>
  </si>
  <si>
    <t>https://www.google.com/maps/dir/?api=1&amp;origin=865%20Zion%20Park%20Boulevard%2C%20Springdale%2C%20UT%2084767&amp;destination=865%20Zion%20Park%20Boulevard%2C%20Springdale%2C%20UT%2084767&amp;travelmode=driving&amp;waypoints=Canyon%20Overlook%20Trailhead%2C%20Zion%20National%20Park%2C%20UT%7CZion%20Canyon%20Visitor%20Center%2C%20Springdale%2C%20UT</t>
  </si>
  <si>
    <r>
      <rPr>
        <color rgb="FF1155CC"/>
        <u/>
      </rPr>
      <t>https://www.komoot.com/nl-nl/tour/2614840133</t>
    </r>
    <r>
      <rPr/>
      <t xml:space="preserve"> 
</t>
    </r>
    <r>
      <rPr>
        <color rgb="FF1155CC"/>
        <u/>
      </rPr>
      <t>https://www.komoot.com/nl-nl/tour/3018288639</t>
    </r>
    <r>
      <rPr/>
      <t xml:space="preserve"> 
</t>
    </r>
    <r>
      <rPr>
        <color rgb="FF1155CC"/>
        <u/>
      </rPr>
      <t>https://www.komoot.com/nl-nl/tour/3018332060</t>
    </r>
    <r>
      <rPr/>
      <t xml:space="preserve"> 
</t>
    </r>
    <r>
      <rPr>
        <color rgb="FF1155CC"/>
        <u/>
      </rPr>
      <t>https://www.komoot.com/nl-nl/tour/2614829414</t>
    </r>
    <r>
      <rPr/>
      <t xml:space="preserve"> 
</t>
    </r>
    <r>
      <rPr>
        <color rgb="FF1155CC"/>
        <u/>
      </rPr>
      <t>https://www.komoot.com/nl-nl/tour/2614850170</t>
    </r>
    <r>
      <rPr/>
      <t xml:space="preserve"> 
</t>
    </r>
    <r>
      <rPr>
        <color rgb="FF1155CC"/>
        <u/>
      </rPr>
      <t>https://www.komoot.com/nl-nl/tour/3018344170</t>
    </r>
    <r>
      <rPr/>
      <t xml:space="preserve"> 
</t>
    </r>
  </si>
  <si>
    <t>- 06:30–10:00 Angels Landing (Bas alleen).
- Ochtend gezin: rustig ontbijt, spelen bij accommodatie.
- 10:30 Gezamenlijk: Emerald Pools Trail – Lower &amp; Middle pools (4 km, kindvriendelijk).
- Lunch in Springdale.
- Middag: vrije tijd, zwemmen of Pa'rus Trail (fietsvriendelijk, langs de rivier).</t>
  </si>
  <si>
    <t>https://www.google.com/maps/dir/?api=1&amp;origin=865%20Zion%20Park%20Boulevard%2C%20Springdale%2C%20UT%2084767&amp;destination=865%20Zion%20Park%20Boulevard%2C%20Springdale%2C%20UT%2084767&amp;travelmode=driving&amp;waypoints=Zion%20Canyon%20Visitor%20Center%2C%20Springdale%2C%20UT</t>
  </si>
  <si>
    <r>
      <rPr>
        <color rgb="FF1155CC"/>
        <u/>
      </rPr>
      <t>https://www.komoot.com/nl-nl/tour/2614843688</t>
    </r>
    <r>
      <rPr/>
      <t xml:space="preserve"> 
</t>
    </r>
    <r>
      <rPr>
        <color rgb="FF1155CC"/>
        <u/>
      </rPr>
      <t>https://www.komoot.com/nl-nl/tour/3018343849</t>
    </r>
    <r>
      <rPr/>
      <t xml:space="preserve"> 
</t>
    </r>
    <r>
      <rPr>
        <color rgb="FF1155CC"/>
        <u/>
      </rPr>
      <t>https://www.komoot.com/nl-nl/tour/3018344770</t>
    </r>
    <r>
      <rPr/>
      <t xml:space="preserve"> 
</t>
    </r>
    <r>
      <rPr>
        <color rgb="FF1155CC"/>
        <u/>
      </rPr>
      <t>https://www.komoot.com/nl-nl/tour/3018411685</t>
    </r>
    <r>
      <rPr/>
      <t xml:space="preserve"> 
</t>
    </r>
    <r>
      <rPr>
        <color rgb="FF1155CC"/>
        <u/>
      </rPr>
      <t>https://www.komoot.com/nl-nl/tour/3031401825</t>
    </r>
    <r>
      <rPr/>
      <t xml:space="preserve"> 
</t>
    </r>
    <r>
      <rPr>
        <color rgb="FF1155CC"/>
        <u/>
      </rPr>
      <t>https://www.komoot.com/nl-nl/tour/3018340557</t>
    </r>
    <r>
      <rPr/>
      <t xml:space="preserve"> 
</t>
    </r>
  </si>
  <si>
    <t>- 08:00 Vertrek richting Valley of Fire State Park (aanrader!). 2 u 15 rijden
- Valley of Fire: Mouse's Tank Road → White Domes Trail (2,2 km, indrukwekkend rood landschap).
- Rainbow Vista als extra stop.
- Lunch onderweg.
- Aankomst Las Vegas in de middag (rit totaal ~4 uur + 1 uur wandelen).
- Avond: eerste verkenning van de Strip.</t>
  </si>
  <si>
    <t>https://www.google.com/maps/dir/?api=1&amp;origin=865%20Zion%20Park%20Boulevard%2C%20Springdale%2C%20UT%2084767&amp;destination=125%20East%20Harmon%20Avenue%2C%20Las%20Vegas%2C%20NV%2089109&amp;travelmode=driving&amp;waypoints=Valley%20of%20Fire%20East%20Entrance%2C%20NV%7CRainbow%20Vista%2C%20Valley%20of%20Fire%2C%20NV%7CMouse's%20Tank%20Trailhead%2C%20Valley%20of%20Fire%2C%20NV%7CWhite%20Domes%20Trailhead%2C%20Valley%20of%20Fire%2C%20NV%7CValley%20of%20Fire%20West%20Entrance%2C%20NV</t>
  </si>
  <si>
    <r>
      <rPr>
        <color rgb="FF1155CC"/>
        <u/>
      </rPr>
      <t>https://www.komoot.com/nl-nl/tour/2687154335</t>
    </r>
    <r>
      <rPr/>
      <t xml:space="preserve"> 
</t>
    </r>
    <r>
      <rPr>
        <color rgb="FF1155CC"/>
        <u/>
      </rPr>
      <t>https://www.komoot.com/nl-nl/tour/3020471843</t>
    </r>
    <r>
      <rPr/>
      <t xml:space="preserve"> 
</t>
    </r>
  </si>
  <si>
    <t>- Rustige ochtend bij het zwembad.
- 11:00 Bezoek The Venetian of Caesars Palace (gratis te betreden, indrukwekkend).
- 13:00 Lunch op de Strip of in een foodcourt (goedkoper).
- Middag met kinderen: Springs Preserve of Discovery Children's Museum.
- 18:00 Fremont Street Experience – lichtshow &amp; straatentertainment (niet te laat ivm drukte etc)
- Gratis tips: https://www.visitlasvegas.com/experience/post/free-things-to-do-in-las-vegas/</t>
  </si>
  <si>
    <r>
      <rPr>
        <rFont val="Calibri"/>
        <b/>
        <color theme="1"/>
      </rPr>
      <t>Activiteit Las Vegas</t>
    </r>
    <r>
      <rPr>
        <rFont val="Calibri"/>
        <color theme="1"/>
      </rPr>
      <t xml:space="preserve">
Tournament of Kings
AREA15
Pinball Hall of Fame
The Neon Museum
Bellagio Fountains
Flyover Las Vegas
Downtown Container Park
Flamingo Wildlife Habitat
Bellagio Conservatory &amp; Botanical Gardens</t>
    </r>
  </si>
  <si>
    <t>https://www.google.com/maps/dir/?api=1&amp;origin=125%20East%20Harmon%20Avenue%2C%20Las%20Vegas%2C%20NV%2089109&amp;destination=125%20East%20Harmon%20Avenue%2C%20Las%20Vegas%2C%20NV%2089109&amp;travelmode=driving&amp;waypoints=The%20Venetian%20Las%20Vegas%2C%20NV%7CCaesars%20Palace%2C%20Las%20Vegas%2C%20NV%7CSprings%20Preserve%2C%20Las%20Vegas%2C%20NV%7CFremont%20Street%20Experience%2C%20Las%20Vegas%2C%20NV</t>
  </si>
  <si>
    <r>
      <t>(</t>
    </r>
    <r>
      <rPr>
        <rFont val="Calibri"/>
        <b/>
        <color rgb="FFFF0000"/>
      </rPr>
      <t xml:space="preserve"> Let op Tanken weinig benzine stations)</t>
    </r>
    <r>
      <rPr>
        <rFont val="Calibri"/>
        <color theme="1"/>
      </rPr>
      <t xml:space="preserve">
09:00 Vertrek Las Vegas
* 11:00 Dante’s View (20-30 min)
* 12:00 Zabriskie Point (15-20 min)
* 12:30 Lunch bij Furnace Creek
* 13:45 Badwater Basin (20-30 min)
* 14:30 Artist’s Drive (30-45 min)
* 15:45 Mesquite Flat Sand Dunes (20-30 min)
* 16:15 Vertrek richting Mammoth Lakes
* 18:30 Aankomst Mammoth Lakes
- Neem veel water mee – ook in oktober kan het 30°C+ zijn.
- Lunch onderweg (neem picknick mee, geen goed eten onderweg).</t>
    </r>
  </si>
  <si>
    <t>https://www.google.com/maps/dir/?api=1&amp;origin=125%20East%20Harmon%20Avenue%2C%20Las%20Vegas%2C%20NV%2089109&amp;destination=4000%20Meridian%20Boulevard%2C%20Mammoth%20Lakes%2C%20CA%2093546&amp;travelmode=driving&amp;waypoints=Dante's%20View%2C%20Death%20Valley%20National%20Park%2C%20CA%7CZabriskie%20Point%2C%20Death%20Valley%20National%20Park%2C%20CA%7CFurnace%20Creek%2C%20Death%20Valley%20National%20Park%2C%20CA%7CBadwater%20Basin%2C%20Death%20Valley%20National%20Park%2C%20CA%7CArtists%20Palette%2C%20Death%20Valley%20National%20Park%2C%20CA%7CMesquite%20Flat%20Sand%20Dunes%2C%20Death%20Valley%20National%20Park%2C%20CA</t>
  </si>
  <si>
    <t>- 09:00 Convict Lake – korte wandeling langs het meer (3,2 km lus, prachtig).
- 11:00 Lake George of Twin Lakes – rustige picknickplek.
- 13:00 Lunch in Mammoth Lakes.  even rusten en zwemmen evt
- 16:30 Mono Lake als we zin hebben (South Tufa Area), korte wandeling (~1 km).
- Optioneel avond: Devil's Postpile National Monument (als nog open in okt).</t>
  </si>
  <si>
    <t>https://www.google.com/maps/dir/?api=1&amp;origin=4000%20Meridian%20Boulevard%2C%20Mammoth%20Lakes%2C%20CA%2093546&amp;destination=4000%20Meridian%20Boulevard%2C%20Mammoth%20Lakes%2C%20CA%2093546&amp;travelmode=driving&amp;waypoints=Convict%20Lake%2C%20CA%7CLake%20George%2C%20Mammoth%20Lakes%2C%20CA%7CTwin%20Lakes%2C%20Mammoth%20Lakes%2C%20CA%7C4000%20Meridian%20Boulevard%2C%20Mammoth%20Lakes%2C%20CA%2093546%7CMono%20Lake%20South%20Tufa%20Area%2C%20CA</t>
  </si>
  <si>
    <r>
      <rPr>
        <color rgb="FF1155CC"/>
        <u/>
      </rPr>
      <t>https://www.komoot.com/nl-nl/tour/3020649321</t>
    </r>
    <r>
      <rPr/>
      <t xml:space="preserve"> 
</t>
    </r>
    <r>
      <rPr>
        <color rgb="FF1155CC"/>
        <u/>
      </rPr>
      <t>https://www.komoot.com/nl-nl/tour/2614869950</t>
    </r>
    <r>
      <rPr/>
      <t xml:space="preserve"> 
</t>
    </r>
    <r>
      <rPr>
        <color rgb="FF1155CC"/>
        <u/>
      </rPr>
      <t>https://www.komoot.com/nl-nl/tour/3020626720</t>
    </r>
    <r>
      <rPr/>
      <t xml:space="preserve"> 
</t>
    </r>
    <r>
      <rPr>
        <color rgb="FF1155CC"/>
        <u/>
      </rPr>
      <t>https://www.komoot.com/nl-nl/tour/3020610105</t>
    </r>
    <r>
      <rPr/>
      <t xml:space="preserve"> 
</t>
    </r>
    <r>
      <rPr>
        <color rgb="FF1155CC"/>
        <u/>
      </rPr>
      <t>https://www.komoot.com/nl-nl/tour/3020605210</t>
    </r>
    <r>
      <rPr/>
      <t xml:space="preserve"> 
</t>
    </r>
    <r>
      <rPr>
        <color rgb="FF1155CC"/>
        <u/>
      </rPr>
      <t>https://www.komoot.com/nl-nl/tour/2614876475</t>
    </r>
    <r>
      <rPr/>
      <t xml:space="preserve"> 
</t>
    </r>
  </si>
  <si>
    <t>08:00 Vertrek Mammoth Lakes via Tioga Pass
Tuolumne Meadows – korte stop (20–30 min)
Tenaya Lake – korte stop (15–20 min)
Olmsted Point – uitzichtstop (20 min)
Lunch onderweg
15:30 Tunnel View – eerste WOW-uitzicht
16:00 Glacier Point Glacier Point
18:15 Zonsondergang Glacier Point
19:30 Aankomst Yosemite View Lodge</t>
  </si>
  <si>
    <t>https://www.google.com/maps/dir/?api=1&amp;origin=4000%20Meridian%20Boulevard%2C%20Mammoth%20Lakes%2C%20CA%2093546&amp;destination=11136%20Highway%20140%2C%20El%20Portal%2C%20CA%2095318&amp;travelmode=driving&amp;waypoints=Tuolumne%20Meadows%2C%20Yosemite%20National%20Park%2C%20CA%7CTenaya%20Lake%2C%20Yosemite%20National%20Park%2C%20CA%7COlmsted%20Point%2C%20Yosemite%20National%20Park%2C%20CA%7CTunnel%20View%2C%20Yosemite%20National%20Park%2C%20CA%7CGlacier%20Point%2C%20Yosemite%20National%20Park%2C%20CA</t>
  </si>
  <si>
    <r>
      <rPr>
        <color rgb="FF1155CC"/>
        <u/>
      </rPr>
      <t>https://www.komoot.com/nl-nl/tour/3020763322</t>
    </r>
    <r>
      <rPr/>
      <t xml:space="preserve"> 
</t>
    </r>
  </si>
  <si>
    <t>07:30 Vertrek naar Yosemite Valley
08:30 – 10:30 Mist Trail tot Vernal Fall Bridge Vernal Fall
10:45 Bridalveil Fall (10–15 min stop)
11:00 Lunch in de Valley
12:00 Sentinel Beach – relaxen / spelen
13:00 Lower Yosemite Fall + Cook’s Meadow 
15:00 El Capitan Meadow
16:00 Valley View 
17:00 Terug naar Yosemite View Lodge</t>
  </si>
  <si>
    <t>https://www.google.com/maps/dir/?api=1&amp;origin=11136%20Highway%20140%2C%20El%20Portal%2C%20CA%2095318&amp;destination=11136%20Highway%20140%2C%20El%20Portal%2C%20CA%2095318&amp;travelmode=driving&amp;waypoints=Curry%20Village%20Parking%2C%20Yosemite%20National%20Park%2C%20CA%7CBridalveil%20Fall%20Parking%2C%20Yosemite%20National%20Park%2C%20CA%7CSentinel%20Beach%20Picnic%20Area%2C%20Yosemite%20National%20Park%2C%20CA%7CYosemite%20Village%20Parking%2C%20Yosemite%20National%20Park%2C%20CA%7CEl%20Capitan%20Meadow%2C%20Yosemite%20National%20Park%2C%20CA%7CValley%20View%2C%20Yosemite%20National%20Park%2C%20CA</t>
  </si>
  <si>
    <t>Google Maps-route</t>
  </si>
  <si>
    <t>Cairns ➔ Sydney (ochtend vlucht)</t>
  </si>
  <si>
    <r>
      <rPr>
        <rFont val="Calibri"/>
        <b/>
        <color theme="1"/>
      </rPr>
      <t>Dag 1 – Sydney</t>
    </r>
    <r>
      <rPr>
        <rFont val="Calibri"/>
        <color theme="1"/>
      </rPr>
      <t xml:space="preserve">
- Middag: rondje lopen bij Circular Quay en opera houde
- Avond: diner bij Circular Quay met uitzicht op Opera House</t>
    </r>
  </si>
  <si>
    <r>
      <rPr>
        <color rgb="FF1155CC"/>
        <u/>
      </rPr>
      <t>https://www.komoot.com/nl-nl/tour/2614894382</t>
    </r>
    <r>
      <rPr/>
      <t xml:space="preserve"> 
</t>
    </r>
    <r>
      <rPr>
        <color rgb="FF1155CC"/>
        <u/>
      </rPr>
      <t>https://www.komoot.com/nl-nl/tour/2614886321</t>
    </r>
    <r>
      <rPr/>
      <t xml:space="preserve"> 
</t>
    </r>
    <r>
      <rPr>
        <color rgb="FF1155CC"/>
        <u/>
      </rPr>
      <t>https://www.komoot.com/nl-nl/tour/2614885563</t>
    </r>
    <r>
      <rPr/>
      <t xml:space="preserve"> 
</t>
    </r>
    <r>
      <rPr>
        <color rgb="FF1155CC"/>
        <u/>
      </rPr>
      <t>https://www.komoot.com/nl-nl/tour/2614891266</t>
    </r>
    <r>
      <rPr/>
      <t xml:space="preserve"> 
</t>
    </r>
    <r>
      <rPr>
        <color rgb="FF1155CC"/>
        <u/>
      </rPr>
      <t>https://www.komoot.com/nl-nl/tour/2614891971</t>
    </r>
    <r>
      <rPr/>
      <t xml:space="preserve"> 
</t>
    </r>
    <r>
      <rPr>
        <color rgb="FF1155CC"/>
        <u/>
      </rPr>
      <t>https://www.komoot.com/nl-nl/tour/2614882594</t>
    </r>
    <r>
      <rPr/>
      <t xml:space="preserve"> 
</t>
    </r>
    <r>
      <rPr>
        <color rgb="FF1155CC"/>
        <u/>
      </rPr>
      <t>https://www.komoot.com/nl-nl/tour/3021993273</t>
    </r>
    <r>
      <rPr/>
      <t xml:space="preserve"> 
</t>
    </r>
  </si>
  <si>
    <t>https://www.google.com/maps/dir/?api=1&amp;origin=5%20Milson%20Rd%2C%20Cremorne%20Point%20NSW%202090%2C%20Australia&amp;destination=5%20Milson%20Rd%2C%20Cremorne%20Point%20NSW%202090%2C%20Australia&amp;travelmode=driving&amp;waypoints=Circular%20Quay%2C%20Sydney%20NSW%2C%20Australia%7CSydney%20Opera%20House%2C%20Bennelong%20Point%2C%20Sydney%20NSW%2C%20Australia</t>
  </si>
  <si>
    <t>- 09:00 - 10:00 Zwemmen
- 10:15 Vertrek richting San Francisco.
- Stop bij Merced Grove of Tuolumne Grove – giant sequoia's (korte wandeling, indrukwekkend!).
- 13:00 Lunch onderweg.
- Cultured Pickle Shop ??? net voor SF
- 16:00–16:30 Aankomst San Francisco.</t>
  </si>
  <si>
    <t>https://www.google.com/maps/dir/?api=1&amp;origin=11136%20Highway%20140%2C%20El%20Portal%2C%20CA%2095318&amp;destination=1630%20Pacific%20Avenue%2C%20San%20Francisco%2C%20CA%2094109&amp;travelmode=driving&amp;waypoints=Merced%20Grove%20Trailhead%2C%20Yosemite%20National%20Park%2C%20CA%7CThe%20Cultured%20Pickle%20Shop%2C%20800%20Bancroft%20Way%2C%20Berkeley%2C%20CA</t>
  </si>
  <si>
    <r>
      <rPr>
        <rFont val="Calibri"/>
        <b/>
        <color theme="1"/>
      </rPr>
      <t xml:space="preserve">Dag 2 – Sydney
</t>
    </r>
    <r>
      <rPr>
        <rFont val="Calibri"/>
        <color theme="1"/>
      </rPr>
      <t>- Ochtend: klim naar de Pylon Lookout &amp; Museum (op de Harbour Bridge)
- Sydney Harbour ferry dagtocht – bijv.  Manly of Taronga Zoo
- Middag: relax op Bondi of korte kustwandeling Bondi–Coogee 
- Avond: Darling Harbour verkennen</t>
    </r>
  </si>
  <si>
    <t>https://www.google.com/maps/dir/?api=1&amp;origin=5%20Milson%20Rd%2C%20Cremorne%20Point%20NSW%202090%2C%20Australia&amp;destination=5%20Milson%20Rd%2C%20Cremorne%20Point%20NSW%202090%2C%20Australia&amp;travelmode=driving&amp;waypoints=Pylon%20Lookout%2C%20Sydney%20Harbour%20Bridge%2C%20The%20Rocks%20NSW%2C%20Australia%7CTaronga%20Zoo%20Sydney%2C%20Bradleys%20Head%20Rd%2C%20Mosman%20NSW%2C%20Australia%7CBondi%20Beach%2C%20NSW%2C%20Australia%7CDarling%20Harbour%2C%20Sydney%20NSW%2C%20Australia</t>
  </si>
  <si>
    <r>
      <rPr>
        <color rgb="FF1155CC"/>
        <u/>
      </rPr>
      <t>https://www.komoot.com/nl-nl/tour/3020842159</t>
    </r>
    <r>
      <rPr/>
      <t xml:space="preserve"> 
</t>
    </r>
  </si>
  <si>
    <t>San Francisco ✈️ Vertrek</t>
  </si>
  <si>
    <t>Laat vertrek (22:55), overdag tijd voor laatste wandeling of shoppen.</t>
  </si>
  <si>
    <r>
      <rPr>
        <rFont val="Calibri"/>
        <b/>
        <color theme="1"/>
      </rPr>
      <t xml:space="preserve">Dag 3 – Sydney
</t>
    </r>
    <r>
      <rPr>
        <rFont val="Calibri"/>
        <color theme="1"/>
      </rPr>
      <t>- Dagtrip naar Bondi
- Alternatief: city highlights (bijv. Art Gallery of NSW of Powerhouse Museum)
- Avond: diner in The Rocks</t>
    </r>
  </si>
  <si>
    <t>https://www.google.com/maps/dir/?api=1&amp;origin=5%20Milson%20Rd%2C%20Cremorne%20Point%20NSW%202090%2C%20Australia&amp;destination=5%20Milson%20Rd%2C%20Cremorne%20Point%20NSW%202090%2C%20Australia&amp;travelmode=driving&amp;waypoints=Art%20Gallery%20of%20New%20South%20Wales%2C%20Art%20Gallery%20Rd%2C%20Sydney%20NSW%2C%20Australia%7CBarangaroo%20Reserve%2C%20Hickson%20Rd%2C%20Barangaroo%20NSW%2C%20Australia%7CThe%20Rocks%2C%20Sydney%20NSW%2C%20Australia</t>
  </si>
  <si>
    <r>
      <rPr>
        <rFont val="Calibri"/>
        <color rgb="FF1155CC"/>
        <sz val="11.0"/>
        <u/>
      </rPr>
      <t>https://www.komoot.com/nl-nl/tour/3109676328</t>
    </r>
    <r>
      <rPr>
        <rFont val="Calibri"/>
        <sz val="11.0"/>
      </rPr>
      <t xml:space="preserve"> 
</t>
    </r>
  </si>
  <si>
    <r>
      <rPr>
        <rFont val="Calibri"/>
        <b/>
        <color theme="1"/>
      </rPr>
      <t xml:space="preserve">Dag 4 – Sydney
</t>
    </r>
    <r>
      <rPr>
        <rFont val="Calibri"/>
        <b val="0"/>
        <color theme="1"/>
      </rPr>
      <t>- Bezoek Australian Museum (dino’s, Aboriginal cultuur, natuurhistorie)
- Wandeling naar Macquarie’s Chair met uitzicht over de haven
- Ontspannen door de Royal Botanic Gardens</t>
    </r>
  </si>
  <si>
    <t>https://www.google.com/maps/dir/?api=1&amp;origin=5%20Milson%20Rd%2C%20Cremorne%20Point%20NSW%202090%2C%20Australia&amp;destination=5%20Milson%20Rd%2C%20Cremorne%20Point%20NSW%202090%2C%20Australia&amp;travelmode=driving&amp;waypoints=Australian%20Museum%2C%201%20William%20St%2C%20Darlinghurst%20NSW%2C%20Australia%7CMrs%20Macquarie's%20Chair%2C%20Sydney%20NSW%2C%20Australia%7CRoyal%20Botanic%20Garden%20Sydney%2C%20NSW%2C%20Australia</t>
  </si>
  <si>
    <r>
      <rPr>
        <rFont val="Calibri"/>
        <b/>
        <color theme="1"/>
      </rPr>
      <t xml:space="preserve">Dag 5 – Sydney → Bendalong
</t>
    </r>
    <r>
      <rPr>
        <rFont val="Calibri"/>
        <color theme="1"/>
      </rPr>
      <t>Rit langs de Grand Pacific Drive (Sea Cliff Bridge)
Stop in Kiama (blowhole)
Middagwandeling langs Hyams Beach</t>
    </r>
  </si>
  <si>
    <t>https://www.google.com/maps/dir/?api=1&amp;origin=5%20Milson%20Rd%2C%20Cremorne%20Point%20NSW%202090%2C%20Australia&amp;destination=1%20Waratah%20Street%2C%20Bendalong%20NSW%202539%2C%20Australia&amp;travelmode=driving&amp;waypoints=Sea%20Cliff%20Bridge%2C%20Clifton%20NSW%2C%20Australia%7CKiama%20Blowhole%2C%20Kiama%20NSW%2C%20Australia%7CHyams%20Beach%2C%20NSW%2C%20Australia</t>
  </si>
  <si>
    <r>
      <rPr>
        <rFont val="Calibri"/>
        <b/>
        <color theme="1"/>
      </rPr>
      <t xml:space="preserve">Dag 6 – Bendalong 
</t>
    </r>
    <r>
      <rPr>
        <rFont val="Calibri"/>
        <color theme="1"/>
      </rPr>
      <t>- Ochtend: dolfijnen- of walvissentocht (seizoen afhankelijk)
- Snorkelen of zwemmen in Jervis Bay Marine Park
- Middag: wandelen in Booderee National Park</t>
    </r>
  </si>
  <si>
    <t>https://www.google.com/maps/dir/?api=1&amp;origin=1%20Waratah%20Street%2C%20Bendalong%20NSW%202539%2C%20Australia&amp;destination=1%20Waratah%20Street%2C%20Bendalong%20NSW%202539%2C%20Australia&amp;travelmode=driving&amp;waypoints=Huskisson%20Wharf%2C%20Huskisson%20NSW%2C%20Australia%7CGreen%20Patch%2C%20Booderee%20National%20Park%2C%20Jervis%20Bay%20NSW%2C%20Australia%7CMurrays%20Beach%2C%20Jervis%20Bay%20Territory%2C%20Australia</t>
  </si>
  <si>
    <t xml:space="preserve">Dag 7 – Bendalong 
</t>
  </si>
  <si>
    <t>https://www.google.com/maps/dir/?api=1&amp;origin=1%20Waratah%20Street%2C%20Bendalong%20NSW%202539%2C%20Australia&amp;destination=1%20Waratah%20Street%2C%20Bendalong%20NSW%202539%2C%20Australia&amp;travelmode=driving&amp;waypoints=Bendalong%20Beach%2C%20Bendalong%20NSW%2C%20Australia%7CWasherwomans%20Beach%2C%20Bendalong%20NSW%2C%20Australia</t>
  </si>
  <si>
    <r>
      <rPr>
        <rFont val="Calibri"/>
        <b/>
        <color theme="1"/>
      </rPr>
      <t xml:space="preserve">Dag 7 – Bendalong  → Tuross Head
</t>
    </r>
    <r>
      <rPr>
        <rFont val="Calibri"/>
        <color theme="1"/>
      </rPr>
      <t>Rit langs de kust richting Tuross Head
Stop bij kleine stranden onderweg
Middag: lagunes en strand verkennen (Tuross Inlet, Dolphin Point)</t>
    </r>
  </si>
  <si>
    <r>
      <rPr/>
      <t xml:space="preserve">Sapphire Coast, Tathra Beach
</t>
    </r>
    <r>
      <rPr>
        <color rgb="FF1155CC"/>
        <u/>
      </rPr>
      <t>https://naroomacharters.com.au/snorkelling-with-the-seals</t>
    </r>
  </si>
  <si>
    <t>https://www.google.com/maps/dir/?api=1&amp;origin=1%20Waratah%20Street%2C%20Bendalong%20NSW%202539%2C%20Australia&amp;destination=Discovery%20Parks%20-%20Narooma%20Beach%2C%207323%20Princes%20Hwy%2C%20Narooma%20NSW%202546%2C%20Australia&amp;travelmode=driving&amp;waypoints=Dolphin%20Point%2C%20NSW%2C%20Australia%7CTuross%20Head%2C%20NSW%2C%20Australia%7CTuross%20Inlet%2C%20NSW%2C%20Australia</t>
  </si>
  <si>
    <r>
      <rPr>
        <rFont val="Calibri"/>
        <b/>
        <color theme="1"/>
      </rPr>
      <t xml:space="preserve">Dag 8 – Tuross Head
</t>
    </r>
    <r>
      <rPr>
        <rFont val="Calibri"/>
        <color theme="1"/>
      </rPr>
      <t>Kajak of zwemmen in Tuross Inlet
Kleine strandwandelingen en lagunes verkennen
Optioneel: korte dagtrip Narooma (Mill Bay Boardwalk of Montague Island boottocht)</t>
    </r>
  </si>
  <si>
    <t>https://www.google.com/maps/dir/?api=1&amp;origin=Discovery%20Parks%20-%20Narooma%20Beach%2C%207323%20Princes%20Hwy%2C%20Narooma%20NSW%202546%2C%20Australia&amp;destination=Discovery%20Parks%20-%20Narooma%20Beach%2C%207323%20Princes%20Hwy%2C%20Narooma%20NSW%202546%2C%20Australia&amp;travelmode=driving&amp;waypoints=Narooma%20Wharf%2C%20Narooma%20NSW%2C%20Australia%7CMill%20Bay%20Boardwalk%2C%20North%20Narooma%20NSW%2C%20Australia%7CTuross%20Inlet%2C%20NSW%2C%20Australia</t>
  </si>
  <si>
    <r>
      <rPr>
        <rFont val="Calibri"/>
        <b/>
        <color theme="1"/>
      </rPr>
      <t xml:space="preserve">Dag 9 – Tuross Head → Eden
</t>
    </r>
    <r>
      <rPr>
        <rFont val="Calibri"/>
        <color theme="1"/>
      </rPr>
      <t>Rit langs Sapphire Coast
Stop bij kleine baaien en uitzichtpunten
Middag: zwemmen of snorkelen bij Bar Beach</t>
    </r>
  </si>
  <si>
    <t>https://www.google.com/maps/dir/?api=1&amp;origin=Discovery%20Parks%20-%20Narooma%20Beach%2C%207323%20Princes%20Hwy%2C%20Narooma%20NSW%202546%2C%20Australia&amp;destination=731%20Princes%20Hwy%2C%20Boydtown%20NSW%202551%2C%20Australia&amp;travelmode=driving&amp;waypoints=Bermagui%20Blue%20Pool%2C%20Bermagui%20NSW%2C%20Australia%7CTathra%20Beach%2C%20Tathra%20NSW%2C%20Australia%7CBar%20Beach%2C%20Merimbula%20NSW%2C%20Australia%7CRotary%20Park%2C%20Eden%20NSW%2C%20Australia</t>
  </si>
  <si>
    <t>1</t>
  </si>
  <si>
    <r>
      <rPr>
        <rFont val="Calibri"/>
        <b/>
        <color theme="1"/>
        <sz val="11.0"/>
      </rPr>
      <t>Dag 1 – Christchurch</t>
    </r>
    <r>
      <rPr>
        <rFont val="Calibri"/>
        <color theme="1"/>
        <sz val="11.0"/>
      </rPr>
      <t xml:space="preserve">
- Aankomst in middag, eerst naar hotel
- avond wandeling in de stad</t>
    </r>
  </si>
  <si>
    <t>https://www.google.com/maps/dir/?api=1&amp;origin=176%20Manchester%20Street%2C%20Apartment%20107%2C%20Christchurch%208011%2C%20New%20Zealand&amp;destination=176%20Manchester%20Street%2C%20Apartment%20107%2C%20Christchurch%208011%2C%20New%20Zealand&amp;travelmode=walking&amp;waypoints=Riverside%20Market%2C%20Christchurch%2C%20New%20Zealand%7CBridge%20of%20Remembrance%2C%20Christchurch%2C%20New%20Zealand%7CNew%20Regent%20Street%2C%20Christchurch%2C%20New%20Zealand</t>
  </si>
  <si>
    <r>
      <rPr>
        <rFont val="Calibri"/>
        <b/>
        <color theme="1"/>
      </rPr>
      <t xml:space="preserve">Dag 11 – Eden→  Traralgon 
</t>
    </r>
    <r>
      <rPr>
        <rFont val="Calibri"/>
        <color theme="1"/>
      </rPr>
      <t xml:space="preserve">Zwemmen en relaxten
</t>
    </r>
  </si>
  <si>
    <t>https://www.google.com/maps/dir/?api=1&amp;origin=731%20Princes%20Hwy%2C%20Boydtown%20NSW%202551%2C%20Australia&amp;destination=5353%20Princes%20Highway%2C%20Traralgon%20VIC%203844%2C%20Australia&amp;travelmode=driving&amp;waypoints=Lakes%20Entrance%20Main%20Beach%2C%20Lakes%20Entrance%20VIC%2C%20Australia</t>
  </si>
  <si>
    <r>
      <rPr>
        <rFont val="Calibri"/>
        <b/>
        <color theme="1"/>
      </rPr>
      <t xml:space="preserve">Dag 12 – Traralgon → Wilsons Promontory
</t>
    </r>
    <r>
      <rPr>
        <rFont val="Calibri"/>
        <color theme="1"/>
      </rPr>
      <t>- Rit naar Wilsons Promontory NP
- Middagwandeling naar Squeaky Beach
-  Hike naar Mt. Oberon Lookout (kindvriendelijk: halverwege stoppen)</t>
    </r>
  </si>
  <si>
    <t>2</t>
  </si>
  <si>
    <t>https://www.google.com/maps/dir/?api=1&amp;origin=5353%20Princes%20Highway%2C%20Traralgon%20VIC%203844%2C%20Australia&amp;destination=Tidal%20River%20Visitor%20Centre%2C%201%20Ring%20Road%2C%20Tidal%20River%20VIC%203960%2C%20Australia&amp;travelmode=driving&amp;waypoints=Squeaky%20Beach%20Carpark%2C%20Wilsons%20Promontory%20VIC%2C%20Australia%7CTelegraph%20Saddle%20Carpark%2C%20Wilsons%20Promontory%20VIC%2C%20Australia</t>
  </si>
  <si>
    <r>
      <rPr>
        <rFont val="Calibri"/>
        <b/>
        <color theme="1"/>
        <sz val="11.0"/>
      </rPr>
      <t xml:space="preserve">Dag 2 – Christchurch
</t>
    </r>
    <r>
      <rPr>
        <rFont val="Calibri"/>
        <color theme="1"/>
        <sz val="11.0"/>
      </rPr>
      <t>- Bezoek Botanic Gardens en de Avon River
- Ontdek het centrum met street art en vernieuwde architectuur
- Ontdek Canterbury Museum of Quake City Museum</t>
    </r>
  </si>
  <si>
    <t>https://www.google.com/maps/dir/?api=1&amp;origin=176%20Manchester%20Street%2C%20Apartment%20107%2C%20Christchurch%208011%2C%20New%20Zealand&amp;destination=176%20Manchester%20Street%2C%20Apartment%20107%2C%20Christchurch%208011%2C%20New%20Zealand&amp;travelmode=driving&amp;waypoints=Christchurch%20Botanic%20Gardens%2C%20Christchurch%2C%20New%20Zealand%7CAvon%20River%20Precinct%2C%20Christchurch%2C%20New%20Zealand%7CQuake%20City%2C%20299%20Durham%20Street%20North%2C%20Christchurch%2C%20New%20Zealand%7CChristchurch%20Street%20Art%20Trail%2C%20Christchurch%2C%20New%20Zealand</t>
  </si>
  <si>
    <r>
      <rPr>
        <rFont val="Calibri"/>
        <color rgb="FF1155CC"/>
        <sz val="11.0"/>
        <u/>
      </rPr>
      <t>https://www.komoot.com/nl-nl/tour/2615866530</t>
    </r>
    <r>
      <rPr>
        <rFont val="Calibri"/>
        <sz val="11.0"/>
      </rPr>
      <t xml:space="preserve"> 
</t>
    </r>
    <r>
      <rPr>
        <rFont val="Calibri"/>
        <color rgb="FF1155CC"/>
        <sz val="11.0"/>
        <u/>
      </rPr>
      <t>https://www.komoot.com/nl-nl/tour/2615872347</t>
    </r>
    <r>
      <rPr>
        <rFont val="Calibri"/>
        <sz val="11.0"/>
      </rPr>
      <t xml:space="preserve"> 
</t>
    </r>
    <r>
      <rPr>
        <rFont val="Calibri"/>
        <color rgb="FF1155CC"/>
        <sz val="11.0"/>
        <u/>
      </rPr>
      <t>https://www.komoot.com/nl-nl/tour/2615907336</t>
    </r>
    <r>
      <rPr>
        <rFont val="Calibri"/>
        <sz val="11.0"/>
      </rPr>
      <t xml:space="preserve"> 
</t>
    </r>
  </si>
  <si>
    <r>
      <rPr>
        <rFont val="Calibri"/>
        <b/>
        <color theme="1"/>
      </rPr>
      <t xml:space="preserve">Dag 13 – Wilsons Promontory
</t>
    </r>
    <r>
      <rPr>
        <rFont val="Calibri"/>
        <color theme="1"/>
      </rPr>
      <t>-  Hike naar Lilly pilly gully 5,5 km 1,5 u (makkelijk)
-  Wildlife-spotten (kangoeroes, wombats, emoes)
-  Optioneel: Tidal River wandeling</t>
    </r>
  </si>
  <si>
    <t>3</t>
  </si>
  <si>
    <r>
      <rPr>
        <rFont val="Calibri"/>
        <b/>
        <color theme="1"/>
        <sz val="11.0"/>
      </rPr>
      <t xml:space="preserve">Dag 3 – Christchurch
</t>
    </r>
    <r>
      <rPr>
        <rFont val="Calibri"/>
        <color theme="1"/>
        <sz val="11.0"/>
      </rPr>
      <t>- Dagtocht naar Akaroa (Frans dorpje &amp; optionele dolfijncruise)
- Alternatief: rit met de Christchurch Gondola
- Avondwandeling door de stad of relaxdag</t>
    </r>
  </si>
  <si>
    <t>https://www.google.com/maps/dir/?api=1&amp;origin=Tidal%20River%20Visitor%20Centre%2C%201%20Ring%20Road%2C%20Tidal%20River%20VIC%203960%2C%20Australia&amp;destination=Tidal%20River%20Visitor%20Centre%2C%201%20Ring%20Road%2C%20Tidal%20River%20VIC%203960%2C%20Australia&amp;travelmode=driving&amp;waypoints=Lilly%20Pilly%20Gully%20Carpark%2C%20Wilsons%20Promontory%20VIC%2C%20Australia%7CProm%20Wildlife%20Walk%2C%20Wilsons%20Promontory%20VIC%2C%20Australia%7CTidal%20River%20Footbridge%2C%20Wilsons%20Promontory%20VIC%2C%20Australia</t>
  </si>
  <si>
    <t>https://www.google.com/maps/dir/?api=1&amp;origin=176%20Manchester%20Street%2C%20Apartment%20107%2C%20Christchurch%208011%2C%20New%20Zealand&amp;destination=176%20Manchester%20Street%2C%20Apartment%20107%2C%20Christchurch%208011%2C%20New%20Zealand&amp;travelmode=driving&amp;waypoints=Akaroa%20Lighthouse%2C%20Akaroa%2C%20New%20Zealand%7CAkaroa%20Main%20Wharf%2C%20Akaroa%2C%20New%20Zealand%7CAkaroa%2C%20New%20Zealand</t>
  </si>
  <si>
    <r>
      <rPr>
        <rFont val="Calibri"/>
        <color rgb="FF1155CC"/>
        <sz val="11.0"/>
        <u/>
      </rPr>
      <t>https://www.komoot.com/nl-nl/tour/2768887281</t>
    </r>
    <r>
      <rPr>
        <rFont val="Calibri"/>
        <sz val="11.0"/>
      </rPr>
      <t xml:space="preserve"> 
</t>
    </r>
    <r>
      <rPr>
        <rFont val="Calibri"/>
        <color rgb="FF1155CC"/>
        <sz val="11.0"/>
        <u/>
      </rPr>
      <t>https://www.komoot.com/nl-nl/tour/2615896897</t>
    </r>
    <r>
      <rPr>
        <rFont val="Calibri"/>
        <sz val="11.0"/>
      </rPr>
      <t xml:space="preserve"> 
</t>
    </r>
    <r>
      <rPr>
        <rFont val="Calibri"/>
        <color rgb="FF1155CC"/>
        <sz val="11.0"/>
        <u/>
      </rPr>
      <t>https://www.komoot.com/nl-nl/tour/2768875031</t>
    </r>
    <r>
      <rPr>
        <rFont val="Calibri"/>
        <sz val="11.0"/>
      </rPr>
      <t xml:space="preserve"> 
</t>
    </r>
  </si>
  <si>
    <t>4</t>
  </si>
  <si>
    <t>Lake Tekapo</t>
  </si>
  <si>
    <r>
      <rPr>
        <rFont val="Calibri"/>
        <b/>
        <color theme="1"/>
        <sz val="11.0"/>
      </rPr>
      <t xml:space="preserve">Dag 4 – Lake Tekapo
</t>
    </r>
    <r>
      <rPr>
        <rFont val="Calibri"/>
        <color theme="1"/>
        <sz val="11.0"/>
      </rPr>
      <t>- Rit naar Lake Tekapo (ca. 3 uur)
- Bezoek Church of the Good Shepherd
- ’s Avonds sterrenkijken bij Mt John Observatory
- Tekapo Springs (bij tijd over  €50 family</t>
    </r>
  </si>
  <si>
    <t>225 km</t>
  </si>
  <si>
    <t>3u</t>
  </si>
  <si>
    <t>https://www.google.com/maps/dir/?api=1&amp;origin=176%20Manchester%20Street%2C%20Apartment%20107%2C%20Christchurch%208011%2C%20New%20Zealand&amp;destination=Irishman%20Creek%20Station%2C%20State%20Highway%208%2C%20Lake%20Tekapo%207999%2C%20New%20Zealand&amp;travelmode=driving&amp;waypoints=Church%20of%20the%20Good%20Shepherd%2C%20Lake%20Tekapo%2C%20New%20Zealand%7CTekapo%20Springs%2C%20Lake%20Tekapo%2C%20New%20Zealand%7CMt%20John%20Observatory%2C%20Lake%20Tekapo%2C%20New%20Zealand</t>
  </si>
  <si>
    <r>
      <rPr>
        <rFont val="Calibri"/>
        <b/>
        <color theme="1"/>
      </rPr>
      <t xml:space="preserve">Dag 14 – Wilsons Promontory → Yarra Ranges
</t>
    </r>
    <r>
      <rPr>
        <rFont val="Calibri"/>
        <color theme="1"/>
      </rPr>
      <t>- Rit richting Yarra Ranges NP
- Middagwandeling door regenwoud met hoge eucalyptusbomen
- Warburton river tubing (zelf tubes kopen?)</t>
    </r>
  </si>
  <si>
    <t>https://www.google.com/maps/dir/?api=1&amp;origin=Tidal%20River%20Visitor%20Centre%2C%201%20Ring%20Road%2C%20Tidal%20River%20VIC%203960%2C%20Australia&amp;destination=30%20Woods%20Point%20Rd%2C%20Warburton%20VIC%203799%2C%20Australia&amp;travelmode=driving&amp;waypoints=Rainforest%20Gallery%2C%20Mount%20Donna%20Buang%2C%20VIC%2C%20Australia%7CWarburton%20Water%20World%2C%20Warburton%20VIC%2C%20Australia</t>
  </si>
  <si>
    <r>
      <rPr>
        <color rgb="FF1155CC"/>
        <u/>
      </rPr>
      <t>https://www.komoot.com/nl-nl/tour/2617940841</t>
    </r>
    <r>
      <rPr/>
      <t xml:space="preserve"> 
</t>
    </r>
  </si>
  <si>
    <t>5</t>
  </si>
  <si>
    <t>Mount Cook</t>
  </si>
  <si>
    <r>
      <rPr>
        <rFont val="Calibri"/>
        <b/>
        <color theme="1"/>
        <sz val="11.0"/>
      </rPr>
      <t xml:space="preserve">Dag 5 – Mount Cook
</t>
    </r>
    <r>
      <rPr>
        <rFont val="Calibri"/>
        <color theme="1"/>
        <sz val="11.0"/>
      </rPr>
      <t>- Rit naar Mount Cook Village (ca. 1 uur)
- Wandeling Hooker Valley Track
- Overnachting met uitzicht op Aoraki/Mount Cook</t>
    </r>
  </si>
  <si>
    <t>105 km</t>
  </si>
  <si>
    <r>
      <rPr>
        <rFont val="Calibri"/>
        <b/>
        <color theme="1"/>
      </rPr>
      <t xml:space="preserve">Dag 15 – Yarra Ranges
</t>
    </r>
    <r>
      <rPr>
        <rFont val="Calibri"/>
        <color theme="1"/>
      </rPr>
      <t>- Middagwandeling door regenwoud met hoge eucalyptusbomen
- Warburton river tubing (zelf tubes kopen?)</t>
    </r>
  </si>
  <si>
    <t>1u30</t>
  </si>
  <si>
    <t>Kea Point 2.8 km return of Hooker Valley 10 km return</t>
  </si>
  <si>
    <t>https://www.google.com/maps/dir/?api=1&amp;origin=Irishman%20Creek%20Station%2C%20State%20Highway%208%2C%20Lake%20Tekapo%207999%2C%20New%20Zealand&amp;destination=Mt%20Cook%20Lodge%2C%20Aoraki%20Mount%20Cook%20Village%2C%20New%20Zealand&amp;travelmode=driving&amp;waypoints=Peters%20Lookout%2C%20Lake%20Pukaki%2C%20New%20Zealand%7CWhite%20Horse%20Hill%20Car%20Park%2C%20Aoraki%20Mount%20Cook%20National%20Park%2C%20New%20Zealand%7CHooker%20Valley%20Track%2C%20Aoraki%20Mount%20Cook%20National%20Park%2C%20New%20Zealand</t>
  </si>
  <si>
    <t>https://www.google.com/maps/dir/?api=1&amp;origin=30%20Woods%20Point%20Rd%2C%20Warburton%20VIC%203799%2C%20Australia&amp;destination=30%20Woods%20Point%20Rd%2C%20Warburton%20VIC%203799%2C%20Australia&amp;travelmode=driving&amp;waypoints=Warburton%20Redwood%20Forest%2C%20Cement%20Creek%20Rd%2C%20East%20Warburton%20VIC%2C%20Australia%7CRainforest%20Gallery%2C%20Mount%20Donna%20Buang%2C%20VIC%2C%20Australia%7CWarburton%20Water%20World%2C%20Warburton%20VIC%2C%20Australia</t>
  </si>
  <si>
    <t>Yarra Ranges → Lorne</t>
  </si>
  <si>
    <r>
      <rPr>
        <rFont val="Calibri"/>
        <b/>
        <color theme="1"/>
      </rPr>
      <t xml:space="preserve">Dag 16 – Yarra Ranges → Lorne
</t>
    </r>
    <r>
      <rPr>
        <rFont val="Calibri"/>
        <color theme="1"/>
      </rPr>
      <t>- fotostop Black Spur Drive
- Waterval bij Lorne bijkijken
- afsluiten aan het strand</t>
    </r>
  </si>
  <si>
    <r>
      <rPr>
        <color rgb="FF1155CC"/>
        <u/>
      </rPr>
      <t>https://www.komoot.com/nl-nl/tour/2617818404</t>
    </r>
    <r>
      <rPr/>
      <t xml:space="preserve"> 
</t>
    </r>
    <r>
      <rPr>
        <color rgb="FF1155CC"/>
        <u/>
      </rPr>
      <t>https://www.komoot.com/nl-nl/tour/3110103381</t>
    </r>
    <r>
      <rPr/>
      <t xml:space="preserve"> 
</t>
    </r>
    <r>
      <rPr>
        <color rgb="FF1155CC"/>
        <u/>
      </rPr>
      <t>https://www.komoot.com/nl-nl/tour/2617823779</t>
    </r>
    <r>
      <rPr/>
      <t xml:space="preserve"> 
</t>
    </r>
    <r>
      <rPr>
        <color rgb="FF1155CC"/>
        <u/>
      </rPr>
      <t>https://www.komoot.com/nl-nl/tour/2617834182</t>
    </r>
    <r>
      <rPr/>
      <t xml:space="preserve"> 
</t>
    </r>
    <r>
      <rPr>
        <color rgb="FF1155CC"/>
        <u/>
      </rPr>
      <t>https://www.komoot.com/nl-nl/tour/2617829803</t>
    </r>
    <r>
      <rPr/>
      <t xml:space="preserve"> 
</t>
    </r>
    <r>
      <rPr>
        <color rgb="FF1155CC"/>
        <u/>
      </rPr>
      <t>https://www.komoot.com/nl-nl/tour/2617778324</t>
    </r>
    <r>
      <rPr/>
      <t xml:space="preserve"> 
</t>
    </r>
  </si>
  <si>
    <t>https://www.google.com/maps/dir/?api=1&amp;origin=30%20Woods%20Point%20Rd%2C%20Warburton%20VIC%203799%2C%20Australia&amp;destination=Lorne%20VIC%203232%2C%20Australia&amp;travelmode=driving&amp;waypoints=Black%20Spur%20Drive%2C%20Narbethong%20VIC%2C%20Australia%7CBells%20Beach%2C%20VIC%2C%20Australia%7CErskine%20Falls%2C%20Lorne%20VIC%2C%20Australia%7CLorne%20Beach%2C%20Lorne%20VIC%2C%20Australia</t>
  </si>
  <si>
    <t>6</t>
  </si>
  <si>
    <t>Dunedin</t>
  </si>
  <si>
    <r>
      <rPr>
        <rFont val="Calibri"/>
        <b/>
        <color theme="1"/>
        <sz val="11.0"/>
      </rPr>
      <t>Dag 6 – Moeraki</t>
    </r>
    <r>
      <rPr>
        <rFont val="Calibri"/>
        <color theme="1"/>
        <sz val="11.0"/>
      </rPr>
      <t xml:space="preserve">
- Stop bij de Omaru
</t>
    </r>
  </si>
  <si>
    <t>320 km</t>
  </si>
  <si>
    <t>4u30</t>
  </si>
  <si>
    <t>via Twizel Oamaru en Moeraki</t>
  </si>
  <si>
    <t>https://www.google.com/maps/dir/?api=1&amp;origin=Mt%20Cook%20Lodge%2C%20Aoraki%20Mount%20Cook%20Village%2C%20New%20Zealand&amp;destination=114%20Wansbeck%20Street%2C%20Oamaru%209401%2C%20New%20Zealand&amp;travelmode=driving&amp;waypoints=Oamaru%20Victorian%20Precinct%2C%20Oamaru%2C%20New%20Zealand%7CMoeraki%20Boulders%20Beach%2C%20Moeraki%2C%20New%20Zealand</t>
  </si>
  <si>
    <t>Lorne → Bimbi Park</t>
  </si>
  <si>
    <r>
      <rPr>
        <rFont val="Calibri"/>
        <b/>
        <color theme="1"/>
      </rPr>
      <t xml:space="preserve">Dag 17 – Lorne → Bimbi park
</t>
    </r>
    <r>
      <rPr>
        <rFont val="Calibri"/>
        <b val="0"/>
        <color theme="1"/>
      </rPr>
      <t>- Nog wandeling of zwemmen in de ochtend
- Rit over de Great Ocean Road
- Aankomst in Bimbi Park (koala’s spotten)</t>
    </r>
  </si>
  <si>
    <t>https://www.google.com/maps/dir/?api=1&amp;origin=Lorne%20VIC%203232%2C%20Australia&amp;destination=Bimbi%20Park%2C%2090%20Manna%20Gum%20Drive%2C%20Cape%20Otway%20VIC%203233%2C%20Australia&amp;travelmode=driving&amp;waypoints=Teddy's%20Lookout%2C%20Lorne%20VIC%2C%20Australia%7CKennet%20River%20Nature%20Walk%2C%20Kennett%20River%20VIC%2C%20Australia%7CApollo%20Bay%2C%20VIC%2C%20Australia</t>
  </si>
  <si>
    <t>7</t>
  </si>
  <si>
    <r>
      <rPr>
        <rFont val="Calibri"/>
        <color rgb="FF1155CC"/>
        <sz val="11.0"/>
        <u/>
      </rPr>
      <t>https://www.komoot.com/nl-nl/tour/2615914738</t>
    </r>
    <r>
      <rPr>
        <rFont val="Calibri"/>
        <sz val="11.0"/>
      </rPr>
      <t xml:space="preserve"> 
</t>
    </r>
  </si>
  <si>
    <r>
      <rPr>
        <rFont val="Calibri"/>
        <b/>
        <color theme="1"/>
        <sz val="11.0"/>
      </rPr>
      <t xml:space="preserve">Dag 7 – Te Anau
</t>
    </r>
    <r>
      <rPr>
        <rFont val="Calibri"/>
        <color theme="1"/>
        <sz val="11.0"/>
      </rPr>
      <t>- Rit naar Te Anau (ca. 4 uur)
- Optioneel: Catlins-route langs ruige kust
- Avondwandeling aan Lake Te Anau</t>
    </r>
  </si>
  <si>
    <t>400 km</t>
  </si>
  <si>
    <t>5u30</t>
  </si>
  <si>
    <t>https://www.google.com/maps/dir/?api=1&amp;origin=114%20Wansbeck%20Street%2C%20Oamaru%209401%2C%20New%20Zealand&amp;destination=77%20Te%20Anau-Manapouri%20Highway%2C%20Te%20Anau%209640%2C%20New%20Zealand&amp;travelmode=driving&amp;waypoints=Dunedin%20Railway%20Station%2C%20Dunedin%2C%20New%20Zealand%7CLake%20Te%20Anau%2C%20Te%20Anau%2C%20New%20Zealand</t>
  </si>
  <si>
    <r>
      <rPr>
        <rFont val="Calibri"/>
        <b/>
        <color theme="1"/>
      </rPr>
      <t xml:space="preserve">Dag 18 – Bimbi Park
</t>
    </r>
    <r>
      <rPr>
        <rFont val="Calibri"/>
        <b val="0"/>
        <color theme="1"/>
      </rPr>
      <t>- Wandelen in Great Otway National Park
- Stops bij Bells Beach en Twelve Apostles
- Bezoek Cape Otway Lightstation
- Middag strandwandeling of relaxen</t>
    </r>
  </si>
  <si>
    <t>https://www.google.com/maps/dir/?api=1&amp;origin=Bimbi%20Park%2C%2090%20Manna%20Gum%20Drive%2C%20Cape%20Otway%20VIC%203233%2C%20Australia&amp;destination=Bimbi%20Park%2C%2090%20Manna%20Gum%20Drive%2C%20Cape%20Otway%20VIC%203233%2C%20Australia&amp;travelmode=driving&amp;waypoints=Maits%20Rest%20Rainforest%20Walk%2C%20Cape%20Otway%20VIC%2C%20Australia%7CTwelve%20Apostles%2C%20Port%20Campbell%20National%20Park%20VIC%2C%20Australia%7CCape%20Otway%20Lightstation%2C%20Cape%20Otway%20VIC%2C%20Australia</t>
  </si>
  <si>
    <r>
      <rPr>
        <color rgb="FF1155CC"/>
        <u/>
      </rPr>
      <t>https://www.komoot.com/nl-nl/tour/2783334098</t>
    </r>
    <r>
      <rPr/>
      <t xml:space="preserve"> 
</t>
    </r>
    <r>
      <rPr>
        <color rgb="FF1155CC"/>
        <u/>
      </rPr>
      <t>https://www.komoot.com/nl-nl/tour/2783334502</t>
    </r>
    <r>
      <rPr/>
      <t xml:space="preserve"> 
</t>
    </r>
    <r>
      <rPr>
        <color rgb="FF1155CC"/>
        <u/>
      </rPr>
      <t>https://www.komoot.com/nl-nl/tour/2783336809</t>
    </r>
    <r>
      <rPr/>
      <t xml:space="preserve"> 
</t>
    </r>
    <r>
      <rPr>
        <color rgb="FF1155CC"/>
        <u/>
      </rPr>
      <t>https://www.komoot.com/nl-nl/tour/2783340849</t>
    </r>
    <r>
      <rPr/>
      <t xml:space="preserve"> 
</t>
    </r>
  </si>
  <si>
    <t>8</t>
  </si>
  <si>
    <r>
      <rPr>
        <rFont val="Calibri"/>
        <b/>
        <color theme="1"/>
        <sz val="11.0"/>
      </rPr>
      <t xml:space="preserve">Dag 8 – Te Anau (Fiordland)
</t>
    </r>
    <r>
      <rPr>
        <rFont val="Calibri"/>
        <color theme="1"/>
        <sz val="11.0"/>
      </rPr>
      <t>- Dagtocht Milford Sound (cruise met fjorden &amp; watervallen)
- Op terugweg van Milford wandeling naar Key Summit</t>
    </r>
  </si>
  <si>
    <t>120 km
240 km retour</t>
  </si>
  <si>
    <t>1u40 + cruise</t>
  </si>
  <si>
    <r>
      <rPr>
        <rFont val="Calibri"/>
        <color theme="1"/>
        <sz val="11.0"/>
      </rPr>
      <t xml:space="preserve">Mirror Lakes, Eglinton, or Hollyford Valleys, </t>
    </r>
    <r>
      <rPr>
        <rFont val="Calibri"/>
        <b/>
        <color theme="1"/>
        <sz val="11.0"/>
      </rPr>
      <t>Key Summit</t>
    </r>
  </si>
  <si>
    <r>
      <rPr>
        <rFont val="Calibri"/>
        <color rgb="FF1155CC"/>
        <sz val="11.0"/>
        <u/>
      </rPr>
      <t>https://www.komoot.com/nl-nl/tour/2615919843</t>
    </r>
    <r>
      <rPr>
        <rFont val="Calibri"/>
        <sz val="11.0"/>
      </rPr>
      <t xml:space="preserve"> 
</t>
    </r>
  </si>
  <si>
    <t>https://www.google.com/maps/dir/?api=1&amp;origin=77%20Te%20Anau-Manapouri%20Highway%2C%20Te%20Anau%209640%2C%20New%20Zealand&amp;destination=77%20Te%20Anau-Manapouri%20Highway%2C%20Te%20Anau%209640%2C%20New%20Zealand&amp;travelmode=driving&amp;waypoints=Milford%20Sound%20Visitor%20Terminal%2C%20Milford%20Sound%2C%20New%20Zealand%7CThe%20Divide%20Shelter%2C%20Milford%20Road%2C%20Fiordland%20National%20Park%2C%20New%20Zealand%7CMirror%20Lakes%2C%20Milford%20Road%2C%20New%20Zealand</t>
  </si>
  <si>
    <r>
      <rPr>
        <rFont val="Calibri"/>
        <b/>
        <color theme="1"/>
      </rPr>
      <t xml:space="preserve">Dag 19 – Bimbi Park → Mount Macedon
</t>
    </r>
    <r>
      <rPr>
        <rFont val="Calibri"/>
        <color theme="1"/>
      </rPr>
      <t>- Rit richting Mount Macedon (via Geelong &amp; Melbourne)
- Stop bij Hanging Rock</t>
    </r>
  </si>
  <si>
    <t>https://www.google.com/maps/dir/?api=1&amp;origin=Bimbi%20Park%2C%2090%20Manna%20Gum%20Drive%2C%20Cape%20Otway%20VIC%203233%2C%20Australia&amp;destination=47%20Taylors%20Rd%2C%20Mount%20Macedon%20VIC%203441%2C%20Australia&amp;travelmode=driving&amp;waypoints=Geelong%20Waterfront%2C%20Geelong%20VIC%2C%20Australia%7CHanging%20Rock%20Reserve%2C%20Woodend%20VIC%2C%20Australia</t>
  </si>
  <si>
    <r>
      <rPr>
        <color rgb="FF1155CC"/>
        <u/>
      </rPr>
      <t>https://www.komoot.com/nl-nl/tour/2783218665</t>
    </r>
    <r>
      <rPr/>
      <t xml:space="preserve"> 
</t>
    </r>
    <r>
      <rPr>
        <color rgb="FF1155CC"/>
        <u/>
      </rPr>
      <t>https://www.komoot.com/nl-nl/tour/2616257680</t>
    </r>
    <r>
      <rPr/>
      <t xml:space="preserve"> 
</t>
    </r>
    <r>
      <rPr>
        <color rgb="FF1155CC"/>
        <u/>
      </rPr>
      <t>https://www.komoot.com/nl-nl/tour/2616261577</t>
    </r>
    <r>
      <rPr/>
      <t xml:space="preserve"> 
</t>
    </r>
  </si>
  <si>
    <t>9</t>
  </si>
  <si>
    <r>
      <rPr>
        <rFont val="Calibri"/>
        <b/>
        <color theme="1"/>
        <sz val="11.0"/>
      </rPr>
      <t xml:space="preserve">Dag 9 – Queenstown
</t>
    </r>
    <r>
      <rPr>
        <rFont val="Calibri"/>
        <color theme="1"/>
        <sz val="11.0"/>
      </rPr>
      <t>- Rit naar Queenstown
- Stop bij Kingston / Lake Wakatipu
- Avond in levendig centrum</t>
    </r>
  </si>
  <si>
    <t>175 km</t>
  </si>
  <si>
    <t>2u30</t>
  </si>
  <si>
    <t>https://www.google.com/maps/dir/?api=1&amp;origin=77%20Te%20Anau-Manapouri%20Highway%2C%20Te%20Anau%209640%2C%20New%20Zealand&amp;destination=4%20Cemetery%20Road%2C%20Queenstown%209300%2C%20New%20Zealand&amp;travelmode=driving&amp;waypoints=Kingston%2C%20New%20Zealand%7CDevils%20Staircase%20Lookout%20Point%2C%20Lake%20Wakatipu%2C%20New%20Zealand%7CQueenstown%20Bay%20Beach%2C%20Queenstown%2C%20New%20Zealand</t>
  </si>
  <si>
    <r>
      <rPr>
        <rFont val="Calibri"/>
        <b/>
        <color theme="1"/>
      </rPr>
      <t xml:space="preserve">Dag 20 – Mount Macedon
</t>
    </r>
    <r>
      <rPr>
        <rFont val="Calibri"/>
        <color theme="1"/>
      </rPr>
      <t>- Wandelen door Macedon Ranges Regional Park
- Bezoek Memorial Cross
- Middag: natuur &amp; rust</t>
    </r>
  </si>
  <si>
    <t>https://www.google.com/maps/dir/?api=1&amp;origin=47%20Taylors%20Rd%2C%20Mount%20Macedon%20VIC%203441%2C%20Australia&amp;destination=47%20Taylors%20Rd%2C%20Mount%20Macedon%20VIC%203441%2C%20Australia&amp;travelmode=driving&amp;waypoints=Camels%20Hump%2C%20Mount%20Macedon%20VIC%2C%20Australia%7CMount%20Macedon%20Memorial%20Cross%2C%20Mount%20Macedon%20VIC%2C%20Australia%7CMacedon%20Regional%20Park%2C%20Mount%20Macedon%20VIC%2C%20Australia</t>
  </si>
  <si>
    <t>10</t>
  </si>
  <si>
    <r>
      <rPr>
        <rFont val="Calibri"/>
        <b/>
        <color theme="1"/>
        <sz val="11.0"/>
      </rPr>
      <t xml:space="preserve">Dag 10 – Queenstown
</t>
    </r>
    <r>
      <rPr>
        <rFont val="Calibri"/>
        <color theme="1"/>
        <sz val="11.0"/>
      </rPr>
      <t>- Kabelbaan Skyline Gondola
- Activiteiten: jetboat, wijnproeverij, hike
- Avondwandeling langs het meer</t>
    </r>
  </si>
  <si>
    <t>Queenstown / Glenorchy / Arrowtown</t>
  </si>
  <si>
    <t>https://www.google.com/maps/dir/?api=1&amp;origin=4%20Cemetery%20Road%2C%20Queenstown%209300%2C%20New%20Zealand&amp;destination=4%20Cemetery%20Road%2C%20Queenstown%209300%2C%20New%20Zealand&amp;travelmode=driving&amp;waypoints=Skyline%20Queenstown%2C%20Queenstown%2C%20New%20Zealand%7CShotover%20Jet%2C%20Arthurs%20Point%2C%20New%20Zealand%7CGibbston%20Valley%20Winery%2C%20Gibbston%2C%20New%20Zealand%7CQueenstown%20Bay%20Beach%2C%20Queenstown%2C%20New%20Zealand</t>
  </si>
  <si>
    <r>
      <rPr>
        <rFont val="Calibri"/>
        <b/>
        <color theme="1"/>
      </rPr>
      <t xml:space="preserve">Dag 21 – Mount Macedon
</t>
    </r>
    <r>
      <rPr>
        <rFont val="Calibri"/>
        <color theme="1"/>
      </rPr>
      <t>- Dagtocht naar wijnregio Woodend &amp; Hanging Rock
- Picknick en lokale proeverijen</t>
    </r>
  </si>
  <si>
    <t>https://www.google.com/maps/dir/?api=1&amp;origin=47%20Taylors%20Rd%2C%20Mount%20Macedon%20VIC%203441%2C%20Australia&amp;destination=47%20Taylors%20Rd%2C%20Mount%20Macedon%20VIC%203441%2C%20Australia&amp;travelmode=driving&amp;waypoints=Woodend%20VIC%2C%20Australia%7CHanging%20Rock%20Winery%2C%20Newham%20VIC%2C%20Australia%7CHanging%20Rock%20Reserve%2C%20Woodend%20VIC%2C%20Australia</t>
  </si>
  <si>
    <r>
      <rPr>
        <color rgb="FF1155CC"/>
        <u/>
      </rPr>
      <t>https://www.komoot.com/nl-nl/tour/2617889552</t>
    </r>
    <r>
      <rPr/>
      <t xml:space="preserve"> 
</t>
    </r>
    <r>
      <rPr>
        <color rgb="FF1155CC"/>
        <u/>
      </rPr>
      <t>https://www.komoot.com/nl-nl/tour/2616234917</t>
    </r>
    <r>
      <rPr/>
      <t xml:space="preserve"> 
</t>
    </r>
    <r>
      <rPr>
        <color rgb="FF1155CC"/>
        <u/>
      </rPr>
      <t>https://www.komoot.com/nl-nl/tour/2617885861</t>
    </r>
    <r>
      <rPr/>
      <t xml:space="preserve"> 
</t>
    </r>
    <r>
      <rPr>
        <color rgb="FF1155CC"/>
        <u/>
      </rPr>
      <t>https://www.komoot.com/nl-nl/tour/2617880186</t>
    </r>
    <r>
      <rPr/>
      <t xml:space="preserve"> 
</t>
    </r>
    <r>
      <rPr>
        <color rgb="FF1155CC"/>
        <u/>
      </rPr>
      <t>https://www.komoot.com/nl-nl/tour/2617883150</t>
    </r>
    <r>
      <rPr/>
      <t xml:space="preserve"> 
</t>
    </r>
  </si>
  <si>
    <r>
      <rPr>
        <rFont val="Calibri"/>
        <b/>
        <color theme="1"/>
      </rPr>
      <t xml:space="preserve">Dag 22 – Mount Macedon
</t>
    </r>
    <r>
      <rPr>
        <rFont val="Calibri"/>
        <color theme="1"/>
      </rPr>
      <t>- Bezoek tuinen en parken in Macedon</t>
    </r>
  </si>
  <si>
    <t>https://www.google.com/maps/dir/?api=1&amp;origin=47%20Taylors%20Rd%2C%20Mount%20Macedon%20VIC%203441%2C%20Australia&amp;destination=47%20Taylors%20Rd%2C%20Mount%20Macedon%20VIC%203441%2C%20Australia&amp;travelmode=driving&amp;waypoints=Forest%20Glade%20Gardens%2C%20Mount%20Macedon%20VIC%2C%20Australia%7CCentennial%20Park%2C%20Macedon%20VIC%2C%20Australia%7CStanley%20Park%2C%20Mount%20Macedon%20VIC%2C%20Australia</t>
  </si>
  <si>
    <t>11</t>
  </si>
  <si>
    <r>
      <rPr>
        <rFont val="Calibri"/>
        <b/>
        <color theme="1"/>
        <sz val="11.0"/>
      </rPr>
      <t xml:space="preserve">Dag 11 – Wanaka
</t>
    </r>
    <r>
      <rPr>
        <rFont val="Calibri"/>
        <color theme="1"/>
        <sz val="11.0"/>
      </rPr>
      <t>- Rit via Crown Range Road (prachtige uitzichten)
- Bezoek Wanaka Tree en meerwandeling
- Wandeling Roy's peak of Diamond Lake</t>
    </r>
  </si>
  <si>
    <t>70 km</t>
  </si>
  <si>
    <t>viewpoints The Blue Pools, Fantail Falls, or Lake Hawea</t>
  </si>
  <si>
    <t>https://www.google.com/maps/dir/?api=1&amp;origin=4%20Cemetery%20Road%2C%20Queenstown%209300%2C%20New%20Zealand&amp;destination=19A%20Kidds%20Way%2C%20Albert%20Town%209305%2C%20New%20Zealand&amp;travelmode=driving&amp;waypoints=Crown%20Range%20Summit%2C%20Crown%20Range%20Road%2C%20New%20Zealand%7CThat%20Wanaka%20Tree%2C%20Wanaka%2C%20New%20Zealand%7CDiamond%20Lake%20Conservation%20Area%2C%20Wanaka%2C%20New%20Zealand</t>
  </si>
  <si>
    <r>
      <rPr>
        <rFont val="Calibri"/>
        <b/>
        <color theme="1"/>
      </rPr>
      <t xml:space="preserve">Dag 23 – Mount Macedon → Melbourne
</t>
    </r>
    <r>
      <rPr>
        <rFont val="Calibri"/>
        <color theme="1"/>
      </rPr>
      <t>- Rit naar Melbourne
- Wandeling door Fitzroy Gardens
- Bezoek Federation Square / optionele lunch in centrum</t>
    </r>
  </si>
  <si>
    <t>https://www.google.com/maps/dir/?api=1&amp;origin=47%20Taylors%20Rd%2C%20Mount%20Macedon%20VIC%203441%2C%20Australia&amp;destination=639%20Lonsdale%20St%2C%20Melbourne%20VIC%203000%2C%20Australia&amp;travelmode=driving&amp;waypoints=Fitzroy%20Gardens%2C%20East%20Melbourne%20VIC%2C%20Australia%7CFederation%20Square%2C%20Melbourne%20VIC%2C%20Australia</t>
  </si>
  <si>
    <t>12</t>
  </si>
  <si>
    <r>
      <rPr>
        <rFont val="Calibri"/>
        <b/>
        <color theme="1"/>
        <sz val="11.0"/>
      </rPr>
      <t xml:space="preserve">Dag 12 – Wanaka
</t>
    </r>
    <r>
      <rPr>
        <rFont val="Calibri"/>
        <color theme="1"/>
        <sz val="11.0"/>
      </rPr>
      <t>- Wandeling Roy's peak of Diamond Lake
- Vrije middag bij het meer</t>
    </r>
  </si>
  <si>
    <t>https://www.google.com/maps/dir/?api=1&amp;origin=19A%20Kidds%20Way%2C%20Albert%20Town%209305%2C%20New%20Zealand&amp;destination=19A%20Kidds%20Way%2C%20Albert%20Town%209305%2C%20New%20Zealand&amp;travelmode=driving&amp;waypoints=Diamond%20Lake%20Conservation%20Area%2C%20Wanaka%2C%20New%20Zealand%7CLake%20Wanaka%2C%20Wanaka%2C%20New%20Zealand%7CWanaka%20Lakefront%2C%20Wanaka%2C%20New%20Zealand</t>
  </si>
  <si>
    <r>
      <rPr>
        <rFont val="Calibri"/>
        <b/>
        <color theme="1"/>
      </rPr>
      <t xml:space="preserve">Dag 24 – Melbourne
</t>
    </r>
    <r>
      <rPr>
        <rFont val="Calibri"/>
        <color theme="1"/>
      </rPr>
      <t>- Verken de stad per City Circle Tram (gratis hop-on-hop-off)
- Bezoek de laneways &amp; street art (o.a. Hosier Lane, AC/DC Lane)
- Dwaal door de Queen Victoria Market (eten, lokale sfeer)</t>
    </r>
  </si>
  <si>
    <t>https://www.google.com/maps/dir/?api=1&amp;origin=639%20Lonsdale%20St%2C%20Melbourne%20VIC%203000%2C%20Australia&amp;destination=639%20Lonsdale%20St%2C%20Melbourne%20VIC%203000%2C%20Australia&amp;travelmode=walking&amp;waypoints=Queen%20Victoria%20Market%2C%20Melbourne%20VIC%2C%20Australia%7CHosier%20Lane%2C%20Melbourne%20VIC%2C%20Australia%7CAC%2FDC%20Lane%2C%20Melbourne%20VIC%2C%20Australia%7CFlinders%20Street%20Station%2C%20Melbourne%20VIC%2C%20Australia</t>
  </si>
  <si>
    <r>
      <rPr>
        <color rgb="FF1155CC"/>
        <u/>
      </rPr>
      <t>https://www.komoot.com/nl-nl/tour/2616240586</t>
    </r>
    <r>
      <rPr/>
      <t xml:space="preserve"> 
</t>
    </r>
    <r>
      <rPr>
        <color rgb="FF1155CC"/>
        <u/>
      </rPr>
      <t>https://www.komoot.com/nl-nl/tour/2617873194</t>
    </r>
    <r>
      <rPr/>
      <t xml:space="preserve"> 
</t>
    </r>
    <r>
      <rPr>
        <color rgb="FF1155CC"/>
        <u/>
      </rPr>
      <t>https://www.komoot.com/nl-nl/tour/2616244397</t>
    </r>
    <r>
      <rPr/>
      <t xml:space="preserve"> 
</t>
    </r>
  </si>
  <si>
    <t>13</t>
  </si>
  <si>
    <r>
      <rPr>
        <rFont val="Calibri"/>
        <b/>
        <color theme="1"/>
        <sz val="11.0"/>
      </rPr>
      <t xml:space="preserve">Dag 13 – Franz Josef
</t>
    </r>
    <r>
      <rPr>
        <rFont val="Calibri"/>
        <color theme="1"/>
        <sz val="11.0"/>
      </rPr>
      <t>- Rit via Haast Pass (ca. 5-6 uur als, stops bij watervallen)
- Avondwandeling in Franz Josef</t>
    </r>
  </si>
  <si>
    <r>
      <rPr>
        <color rgb="FF1155CC"/>
        <u/>
      </rPr>
      <t>https://www.komoot.com/nl-nl/tour/3192928549</t>
    </r>
    <r>
      <rPr/>
      <t xml:space="preserve"> 
</t>
    </r>
  </si>
  <si>
    <t>285 km</t>
  </si>
  <si>
    <t>https://www.google.com/maps/dir/?api=1&amp;origin=19A%20Kidds%20Way%2C%20Albert%20Town%209305%2C%20New%20Zealand&amp;destination=46%20Cron%20Street%2C%20Franz%20Josef%207886%2C%20New%20Zealand&amp;travelmode=driving&amp;waypoints=Blue%20Pools%20Track%2C%20Haast%20Pass%20Highway%2C%20New%20Zealand%7CFantail%20Falls%2C%20Haast%20Pass%2C%20New%20Zealand%7CThunder%20Creek%20Falls%2C%20Haast%20Pass%20Highway%2C%20New%20Zealand</t>
  </si>
  <si>
    <r>
      <rPr>
        <rFont val="Calibri"/>
        <b/>
        <color theme="1"/>
      </rPr>
      <t xml:space="preserve">Dag 25 – Melbourne
</t>
    </r>
    <r>
      <rPr>
        <rFont val="Calibri"/>
        <b val="0"/>
        <color theme="1"/>
      </rPr>
      <t>- Bezoek ACMI (Australian Centre for the Moving Image) 
- Middag: tram of taxi naar St Kilda
- Wandel door Luna Park en langs de pier
- Avond: pinguïns bij St Kilda Pier spotten bij zonsondergang</t>
    </r>
  </si>
  <si>
    <t>https://www.google.com/maps/dir/?api=1&amp;origin=639%20Lonsdale%20St%2C%20Melbourne%20VIC%203000%2C%20Australia&amp;destination=639%20Lonsdale%20St%2C%20Melbourne%20VIC%203000%2C%20Australia&amp;travelmode=driving&amp;waypoints=ACMI%2C%20Federation%20Square%2C%20Melbourne%20VIC%2C%20Australia%7CLuna%20Park%20Melbourne%2C%20Lower%20Esplanade%2C%20St%20Kilda%20VIC%2C%20Australia%7CSt%20Kilda%20Pier%20Penguin%20Viewing%20Platform%2C%20St%20Kilda%20VIC%2C%20Australia</t>
  </si>
  <si>
    <r>
      <rPr>
        <color rgb="FF1155CC"/>
        <u/>
      </rPr>
      <t>https://www.komoot.com/nl-nl/tour/2617913044</t>
    </r>
    <r>
      <rPr/>
      <t xml:space="preserve"> 
</t>
    </r>
  </si>
  <si>
    <t>Melbourne - Christchurch (ochten vlucht/middag aankomst</t>
  </si>
  <si>
    <t>14</t>
  </si>
  <si>
    <r>
      <rPr>
        <rFont val="Calibri"/>
        <b/>
        <color theme="1"/>
        <sz val="11.0"/>
      </rPr>
      <t xml:space="preserve">Dag 14 – Franz Josef
</t>
    </r>
    <r>
      <rPr>
        <rFont val="Calibri"/>
        <color theme="1"/>
        <sz val="11.0"/>
      </rPr>
      <t>- Wandeling naar Glacier Viewpoint
- Relax in de Glacier Hot Pools</t>
    </r>
  </si>
  <si>
    <t>https://www.google.com/maps/dir/?api=1&amp;origin=46%20Cron%20Street%2C%20Franz%20Josef%207886%2C%20New%20Zealand&amp;destination=46%20Cron%20Street%2C%20Franz%20Josef%207886%2C%20New%20Zealand&amp;travelmode=driving&amp;waypoints=Franz%20Josef%20Glacier%20Walk%2C%20Franz%20Josef%2C%20New%20Zealand%7CWaiho%20Hot%20Tubs%2C%2064B%20Cron%20Street%2C%20Franz%20Josef%2C%20New%20Zealand</t>
  </si>
  <si>
    <r>
      <rPr>
        <color rgb="FF1155CC"/>
        <u/>
      </rPr>
      <t>https://www.komoot.com/nl-nl/tour/2616272589</t>
    </r>
    <r>
      <rPr/>
      <t xml:space="preserve"> 
</t>
    </r>
    <r>
      <rPr>
        <color rgb="FF1155CC"/>
        <u/>
      </rPr>
      <t>https://www.komoot.com/nl-nl/tour/2617641037</t>
    </r>
    <r>
      <rPr/>
      <t xml:space="preserve"> 
</t>
    </r>
    <r>
      <rPr>
        <color rgb="FF1155CC"/>
        <u/>
      </rPr>
      <t>https://www.komoot.com/nl-nl/tour/2617841774</t>
    </r>
    <r>
      <rPr/>
      <t xml:space="preserve"> 
</t>
    </r>
    <r>
      <rPr>
        <color rgb="FF1155CC"/>
        <u/>
      </rPr>
      <t>https://www.komoot.com/nl-nl/tour/2617636994</t>
    </r>
    <r>
      <rPr/>
      <t xml:space="preserve"> 
</t>
    </r>
    <r>
      <rPr>
        <color rgb="FF1155CC"/>
        <u/>
      </rPr>
      <t>https://www.komoot.com/nl-nl/tour/2617918883</t>
    </r>
    <r>
      <rPr/>
      <t xml:space="preserve"> 
</t>
    </r>
    <r>
      <rPr>
        <color rgb="FF1155CC"/>
        <u/>
      </rPr>
      <t>https://www.komoot.com/nl-nl/tour/2617616890</t>
    </r>
    <r>
      <rPr/>
      <t xml:space="preserve"> 
</t>
    </r>
    <r>
      <rPr>
        <color rgb="FF1155CC"/>
        <u/>
      </rPr>
      <t>https://www.komoot.com/nl-nl/tour/2617639131</t>
    </r>
    <r>
      <rPr/>
      <t xml:space="preserve"> 
</t>
    </r>
  </si>
  <si>
    <t>15</t>
  </si>
  <si>
    <t>Punakaiki</t>
  </si>
  <si>
    <r>
      <rPr>
        <rFont val="Calibri"/>
        <b/>
        <color theme="1"/>
        <sz val="11.0"/>
      </rPr>
      <t xml:space="preserve">Dag 15 – Punakaiki
</t>
    </r>
    <r>
      <rPr>
        <rFont val="Calibri"/>
        <color theme="1"/>
        <sz val="11.0"/>
      </rPr>
      <t>- Rit naar Punakaiki
- Bezoek Pancake Rocks &amp; Blowholes
- kayaken over rivier of Pororari track 7km 2 u
- Overnachting bij de kust</t>
    </r>
  </si>
  <si>
    <t>3u30</t>
  </si>
  <si>
    <t>https://riverkayaking.co.nz/</t>
  </si>
  <si>
    <t>https://www.google.com/maps/dir/?api=1&amp;origin=46%20Cron%20Street%2C%20Franz%20Josef%207886%2C%20New%20Zealand&amp;destination=Mabel%20Street%2C%20Punakaiki%207873%2C%20New%20Zealand&amp;travelmode=driving&amp;waypoints=Hokitika%20Beach%2C%20Hokitika%2C%20New%20Zealand%7CPancake%20Rocks%20and%20Blowholes%2C%20Punakaiki%2C%20New%20Zealand%7CPororari%20River%20Track%2C%20Punakaiki%2C%20New%20Zealand</t>
  </si>
  <si>
    <r>
      <rPr>
        <color rgb="FF1155CC"/>
        <u/>
      </rPr>
      <t>https://www.komoot.com/nl-nl/tour/2617932341</t>
    </r>
    <r>
      <rPr/>
      <t xml:space="preserve"> 
</t>
    </r>
    <r>
      <rPr>
        <color rgb="FF1155CC"/>
        <u/>
      </rPr>
      <t>https://www.komoot.com/nl-nl/tour/2617930576</t>
    </r>
    <r>
      <rPr/>
      <t xml:space="preserve"> 
</t>
    </r>
  </si>
  <si>
    <t>16</t>
  </si>
  <si>
    <r>
      <rPr>
        <rFont val="Calibri"/>
        <b/>
        <color theme="1"/>
        <sz val="11.0"/>
      </rPr>
      <t xml:space="preserve">Dag 16 – Abel Tasman NP
</t>
    </r>
    <r>
      <rPr>
        <rFont val="Calibri"/>
        <color theme="1"/>
        <sz val="11.0"/>
      </rPr>
      <t>- Rit naar Abel Tasman (ca. 5 uur)
- Avondwandeling of relaxen bij de kust</t>
    </r>
  </si>
  <si>
    <t>290 km</t>
  </si>
  <si>
    <t>https://www.google.com/maps/dir/?api=1&amp;origin=Mabel%20Street%2C%20Punakaiki%207873%2C%20New%20Zealand&amp;destination=14%20Harvey%20Road%2C%20Marahau%207197%2C%20New%20Zealand&amp;travelmode=driving&amp;waypoints=Nelson%2C%20New%20Zealand%7CKaiteriteri%20Beach%2C%20Kaiteriteri%2C%20New%20Zealand%7CMarahau%20Beach%2C%20Marahau%2C%20New%20Zealand</t>
  </si>
  <si>
    <r>
      <rPr>
        <color rgb="FF1155CC"/>
        <u/>
      </rPr>
      <t>https://www.komoot.com/nl-nl/tour/2617924397</t>
    </r>
    <r>
      <rPr/>
      <t xml:space="preserve"> 
</t>
    </r>
    <r>
      <rPr>
        <color rgb="FF1155CC"/>
        <u/>
      </rPr>
      <t>https://www.komoot.com/nl-nl/tour/2616268015</t>
    </r>
    <r>
      <rPr/>
      <t xml:space="preserve"> 
</t>
    </r>
  </si>
  <si>
    <t>17</t>
  </si>
  <si>
    <r>
      <rPr>
        <rFont val="Calibri"/>
        <b/>
        <color theme="1"/>
        <sz val="11.0"/>
      </rPr>
      <t xml:space="preserve">Dag 17 – Abel Tasman NP
</t>
    </r>
    <r>
      <rPr>
        <rFont val="Calibri"/>
        <color theme="1"/>
        <sz val="11.0"/>
      </rPr>
      <t>- Hike dag 1</t>
    </r>
  </si>
  <si>
    <t>https://www.google.com/maps/dir/?api=1&amp;origin=14%20Harvey%20Road%2C%20Marahau%207197%2C%20New%20Zealand&amp;destination=14%20Harvey%20Road%2C%20Marahau%207197%2C%20New%20Zealand&amp;travelmode=walking&amp;waypoints=Abel%20Tasman%20Coast%20Track%20Marahau%20Entrance%2C%20Marahau%2C%20New%20Zealand%7CAbel%20Tasman%20AquaTaxi%2C%20Marahau%2C%20New%20Zealand</t>
  </si>
  <si>
    <r>
      <rPr>
        <color rgb="FF1155CC"/>
        <u/>
      </rPr>
      <t>https://www.komoot.com/nl-nl/tour/2711227413</t>
    </r>
    <r>
      <rPr/>
      <t xml:space="preserve"> 
</t>
    </r>
  </si>
  <si>
    <t>18</t>
  </si>
  <si>
    <r>
      <rPr>
        <rFont val="Calibri"/>
        <b/>
        <color theme="1"/>
        <sz val="11.0"/>
      </rPr>
      <t xml:space="preserve">Dag 18 – Abel Tasman NP
</t>
    </r>
    <r>
      <rPr>
        <rFont val="Calibri"/>
        <color theme="1"/>
        <sz val="11.0"/>
      </rPr>
      <t>- Hike dag 2</t>
    </r>
  </si>
  <si>
    <t>https://www.google.com/maps/dir/?api=1&amp;origin=14%20Harvey%20Road%2C%20Marahau%207197%2C%20New%20Zealand&amp;destination=14%20Harvey%20Road%2C%20Marahau%207197%2C%20New%20Zealand&amp;travelmode=walking&amp;waypoints=Abel%20Tasman%20AquaTaxi%2C%20Marahau%2C%20New%20Zealand%7CAbel%20Tasman%20Coast%20Track%20Marahau%20Entrance%2C%20Marahau%2C%20New%20Zealand</t>
  </si>
  <si>
    <t>19</t>
  </si>
  <si>
    <t>Pohara</t>
  </si>
  <si>
    <r>
      <rPr>
        <rFont val="Calibri"/>
        <b/>
        <color theme="1"/>
        <sz val="11.0"/>
      </rPr>
      <t xml:space="preserve">Dag 19 – Pohara Beach
</t>
    </r>
    <r>
      <rPr>
        <rFont val="Calibri"/>
        <color theme="1"/>
        <sz val="11.0"/>
      </rPr>
      <t>- Te Waikoropupu Springs (kan daar ook forelvissen in buurt)
- Labyrinth Rocks
- Paines Ford (zwemmen in rivier)
- Pohara Beach</t>
    </r>
  </si>
  <si>
    <t>60 km</t>
  </si>
  <si>
    <t>https://www.google.com/maps/dir/?api=1&amp;origin=14%20Harvey%20Road%2C%20Marahau%207197%2C%20New%20Zealand&amp;destination=40%20Ruataniwha%20Drive%2C%20Collingwood%207073%2C%20New%20Zealand&amp;travelmode=driving&amp;waypoints=Paines%20Ford%20Scenic%20Reserve%2C%20Takaka%2C%20New%20Zealand%7CLabyrinth%20Rocks%2C%20Takaka%2C%20New%20Zealand%7CPohara%20Beach%2C%20Pohara%2C%20New%20Zealand%7CTe%20Waikoropupu%20Springs%2C%20Takaka%2C%20New%20Zealand</t>
  </si>
  <si>
    <t>20</t>
  </si>
  <si>
    <r>
      <rPr>
        <rFont val="Calibri"/>
        <b/>
        <color theme="1"/>
        <sz val="11.0"/>
      </rPr>
      <t xml:space="preserve">Dag 20 – Pohara Beach
</t>
    </r>
    <r>
      <rPr>
        <rFont val="Calibri"/>
        <color theme="1"/>
        <sz val="11.0"/>
      </rPr>
      <t>- Golden by Kayaks tot 12:30</t>
    </r>
  </si>
  <si>
    <t>https://www.goldenbaykayaks.co.nz/guided-kayak-tour-options</t>
  </si>
  <si>
    <t>https://www.google.com/maps/dir/?api=1&amp;origin=40%20Ruataniwha%20Drive%2C%20Collingwood%207073%2C%20New%20Zealand&amp;destination=40%20Ruataniwha%20Drive%2C%20Collingwood%207073%2C%20New%20Zealand&amp;travelmode=driving&amp;waypoints=Golden%20Bay%20Kayaks%2C%2029%20Cornwall%20Place%2C%20Tata%20Beach%2C%20New%20Zealand%7CWainui%20Bay%2C%20Tasman%2C%20New%20Zealand%7CPohara%20Beach%2C%20Pohara%2C%20New%20Zealand</t>
  </si>
  <si>
    <t>21</t>
  </si>
  <si>
    <r>
      <rPr>
        <rFont val="Calibri"/>
        <b/>
        <color theme="1"/>
        <sz val="11.0"/>
      </rPr>
      <t xml:space="preserve">Dag 21 – Picton
</t>
    </r>
    <r>
      <rPr>
        <rFont val="Calibri"/>
        <color theme="1"/>
        <sz val="11.0"/>
      </rPr>
      <t>- Rit naar Nelson 1u40 (3 uurtjes in stad)
- rit naar Pelorus Bridge voor zwemmen en koffie
- rit naar Picton voor overnachting</t>
    </r>
  </si>
  <si>
    <t>230 km</t>
  </si>
  <si>
    <t>3u 30</t>
  </si>
  <si>
    <t>https://www.google.com/maps/dir/?api=1&amp;origin=40%20Ruataniwha%20Drive%2C%20Collingwood%207073%2C%20New%20Zealand&amp;destination=113%20High%20Street%2C%20Picton%207220%2C%20New%20Zealand&amp;travelmode=driving&amp;waypoints=Nelson%2C%20New%20Zealand%7CPelorus%20Bridge%20Scenic%20Reserve%2C%20New%20Zealand%7CPicton%20Waterfront%2C%20Picton%2C%20New%20Zealand</t>
  </si>
  <si>
    <r>
      <rPr>
        <color rgb="FF1155CC"/>
        <u/>
      </rPr>
      <t>https://www.komoot.com/nl-nl/tour/2617944045</t>
    </r>
    <r>
      <rPr/>
      <t xml:space="preserve"> 
</t>
    </r>
  </si>
  <si>
    <t>22</t>
  </si>
  <si>
    <t xml:space="preserve">Dag 22 – Wellington
</t>
  </si>
  <si>
    <t>https://www.google.com/maps/dir/?api=1&amp;origin=113%20High%20Street%2C%20Picton%207220%2C%20New%20Zealand&amp;destination=Wellington%20CBD%2C%20Wellington%206011%2C%20New%20Zealand&amp;travelmode=driving&amp;waypoints=Interislander%20Vehicle%20Check-In%2C%20Lagoon%20Road%2C%20Picton%2C%20New%20Zealand%7CInterislander%20Wellington%20Terminal%2C%20Kaiwharawhara%2C%20Wellington%2C%20New%20Zealand</t>
  </si>
  <si>
    <t>23</t>
  </si>
  <si>
    <r>
      <rPr>
        <rFont val="Calibri"/>
        <b/>
        <color theme="1"/>
        <sz val="11.0"/>
      </rPr>
      <t>Dag 23 – Wellington</t>
    </r>
    <r>
      <rPr>
        <rFont val="Calibri"/>
        <color theme="1"/>
        <sz val="11.0"/>
      </rPr>
      <t xml:space="preserve">
</t>
    </r>
  </si>
  <si>
    <t>https://www.google.com/maps/dir/?api=1&amp;origin=Wellington%20CBD%2C%20Wellington%206011%2C%20New%20Zealand&amp;destination=Wellington%20CBD%2C%20Wellington%206011%2C%20New%20Zealand&amp;travelmode=driving&amp;waypoints=Museum%20of%20New%20Zealand%20Te%20Papa%20Tongarewa%2C%20Wellington%2C%20New%20Zealand%7CWellington%20Cable%20Car%2C%20Lambton%20Quay%2C%20Wellington%2C%20New%20Zealand%7CMount%20Victoria%20Lookout%2C%20Wellington%2C%20New%20Zealand%7COriental%20Bay%2C%20Wellington%2C%20New%20Zealand</t>
  </si>
  <si>
    <t>24</t>
  </si>
  <si>
    <t>Taranaki</t>
  </si>
  <si>
    <t xml:space="preserve">Dag 24 – Stratford (Mt Taranaki)
</t>
  </si>
  <si>
    <t>https://www.google.com/maps/dir/?api=1&amp;origin=Wellington%20CBD%2C%20Wellington%206011%2C%20New%20Zealand&amp;destination=1801%20Mangorei%20Road%2C%20New%20Plymouth%204371%2C%20New%20Zealand&amp;travelmode=driving&amp;waypoints=Whanganui%20Riverfront%2C%20Whanganui%2C%20New%20Zealand%7CStratford%20Glockenspiel%2C%20Stratford%2C%20New%20Zealand</t>
  </si>
  <si>
    <r>
      <rPr>
        <rFont val="Calibri"/>
        <b/>
        <color theme="1"/>
        <sz val="11.0"/>
      </rPr>
      <t xml:space="preserve">Dag 25 – Mt Taranaki
</t>
    </r>
    <r>
      <rPr>
        <rFont val="Calibri"/>
        <color theme="1"/>
        <sz val="11.0"/>
      </rPr>
      <t>- Dawson Falls Visitor Centre Goblin Forest + Wilkies Pools
- North Egmont Visitor Centre + Manganui Gorge Track
- Lake Mangamahoe</t>
    </r>
  </si>
  <si>
    <t>https://www.google.com/maps/dir/?api=1&amp;origin=1801%20Mangorei%20Road%2C%20New%20Plymouth%204371%2C%20New%20Zealand&amp;destination=1801%20Mangorei%20Road%2C%20New%20Plymouth%204371%2C%20New%20Zealand&amp;travelmode=driving&amp;waypoints=Dawson%20Falls%20Visitor%20Centre%2C%20Egmont%20National%20Park%2C%20New%20Zealand%7CWilkies%20Pools%20Loop%20Track%2C%20Egmont%20National%20Park%2C%20New%20Zealand%7CNorth%20Egmont%20Visitor%20Centre%2C%20New%20Zealand%7CLake%20Mangamahoe%2C%20New%20Plymouth%2C%20New%20Zealand</t>
  </si>
  <si>
    <r>
      <rPr>
        <color rgb="FF1155CC"/>
        <u/>
      </rPr>
      <t>https://www.komoot.com/nl-nl/tour/2616132950</t>
    </r>
    <r>
      <rPr/>
      <t xml:space="preserve"> 
</t>
    </r>
    <r>
      <rPr>
        <color rgb="FF1155CC"/>
        <u/>
      </rPr>
      <t>https://www.komoot.com/nl-nl/tour/2616135234</t>
    </r>
    <r>
      <rPr/>
      <t xml:space="preserve"> 
</t>
    </r>
    <r>
      <rPr>
        <color rgb="FF1155CC"/>
        <u/>
      </rPr>
      <t>https://www.komoot.com/nl-nl/tour/2616103465</t>
    </r>
    <r>
      <rPr/>
      <t xml:space="preserve"> 
</t>
    </r>
    <r>
      <rPr>
        <color rgb="FF1155CC"/>
        <u/>
      </rPr>
      <t>https://www.komoot.com/nl-nl/tour/2616116563</t>
    </r>
    <r>
      <rPr/>
      <t xml:space="preserve"> 
</t>
    </r>
    <r>
      <rPr>
        <color rgb="FF1155CC"/>
        <u/>
      </rPr>
      <t>https://www.komoot.com/nl-nl/tour/2616140903</t>
    </r>
    <r>
      <rPr/>
      <t xml:space="preserve"> 
</t>
    </r>
  </si>
  <si>
    <t>25</t>
  </si>
  <si>
    <t>Waitomo</t>
  </si>
  <si>
    <t>Dag 26 – Waitomo</t>
  </si>
  <si>
    <t>220 km</t>
  </si>
  <si>
    <t>https://www.google.com/maps/dir/?api=1&amp;origin=1801%20Mangorei%20Road%2C%20New%20Plymouth%204371%2C%20New%20Zealand&amp;destination=12%20Waitomo%20Village%20Road%2C%20Waitomo%20Caves%203977%2C%20New%20Zealand&amp;travelmode=driving&amp;waypoints=Waitomo%20Glowworm%20Caves%2C%20Waitomo%2C%20New%20Zealand</t>
  </si>
  <si>
    <t>26</t>
  </si>
  <si>
    <r>
      <rPr>
        <rFont val="Calibri"/>
        <b/>
        <color theme="1"/>
        <sz val="11.0"/>
      </rPr>
      <t xml:space="preserve">Dag 27 – Taupo
</t>
    </r>
    <r>
      <rPr>
        <rFont val="Calibri"/>
        <b val="0"/>
        <color theme="1"/>
        <sz val="11.0"/>
      </rPr>
      <t>- Bezoek Huka Falls
- Boottocht naar Maori Rock Carvings</t>
    </r>
  </si>
  <si>
    <t>https://www.google.com/maps/dir/?api=1&amp;origin=12%20Waitomo%20Village%20Road%2C%20Waitomo%20Caves%203977%2C%20New%20Zealand&amp;destination=76%20Napier-Taupo%20Road%2C%20Taupo%203330%2C%20New%20Zealand&amp;travelmode=driving&amp;waypoints=Huka%20Falls%2C%20Taupo%2C%20New%20Zealand%7CTaupo%20Boat%20Harbour%2C%20Taupo%2C%20New%20Zealand%7CMaori%20Rock%20Carvings%20Cruise%2C%20Taupo%2C%20New%20Zealand</t>
  </si>
  <si>
    <t>27</t>
  </si>
  <si>
    <t xml:space="preserve">Dag 28 – Taupo </t>
  </si>
  <si>
    <t>https://www.google.com/maps/dir/?api=1&amp;origin=76%20Napier-Taupo%20Road%2C%20Taupo%203330%2C%20New%20Zealand&amp;destination=76%20Napier-Taupo%20Road%2C%20Taupo%203330%2C%20New%20Zealand&amp;travelmode=driving&amp;waypoints=Craters%20of%20the%20Moon%2C%20Taupo%2C%20New%20Zealand%7CAratiatia%20Rapids%2C%20Taupo%2C%20New%20Zealand%7CTaupo%20Lakefront%2C%20Taupo%2C%20New%20Zealand</t>
  </si>
  <si>
    <t>28</t>
  </si>
  <si>
    <t>Tongariro NP</t>
  </si>
  <si>
    <t xml:space="preserve">Dag 29 – Taupo / Tongariro NP </t>
  </si>
  <si>
    <t>https://www.google.com/maps/dir/?api=1&amp;origin=76%20Napier-Taupo%20Road%2C%20Taupo%203330%2C%20New%20Zealand&amp;destination=76%20Napier-Taupo%20Road%2C%20Taupo%203330%2C%20New%20Zealand&amp;travelmode=driving&amp;waypoints=Whakapapa%20Visitor%20Centre%2C%20Tongariro%20National%20Park%2C%20New%20Zealand%7CTaranaki%20Falls%20Track%2C%20Tongariro%20National%20Park%2C%20New%20Zealand%7CMangatepopo%20Car%20Park%2C%20Tongariro%20National%20Park%2C%20New%20Zealand</t>
  </si>
  <si>
    <r>
      <rPr>
        <color rgb="FF1155CC"/>
        <u/>
      </rPr>
      <t>https://www.komoot.com/nl-nl/tour/2730441355</t>
    </r>
    <r>
      <rPr/>
      <t xml:space="preserve"> 
</t>
    </r>
    <r>
      <rPr>
        <color rgb="FF1155CC"/>
        <u/>
      </rPr>
      <t>https://www.komoot.com/nl-nl/tour/2730497120</t>
    </r>
    <r>
      <rPr/>
      <t xml:space="preserve"> 
</t>
    </r>
    <r>
      <rPr>
        <color rgb="FF1155CC"/>
        <u/>
      </rPr>
      <t>https://www.komoot.com/nl-nl/tour/2737103944</t>
    </r>
    <r>
      <rPr/>
      <t xml:space="preserve"> 
</t>
    </r>
  </si>
  <si>
    <t>29</t>
  </si>
  <si>
    <t xml:space="preserve">Dag 30 – Taupo </t>
  </si>
  <si>
    <t>75 km</t>
  </si>
  <si>
    <t>https://www.google.com/maps/dir/?api=1&amp;origin=76%20Napier-Taupo%20Road%2C%20Taupo%203330%2C%20New%20Zealand&amp;destination=76%20Napier-Taupo%20Road%2C%20Taupo%203330%2C%20New%20Zealand&amp;travelmode=driving&amp;waypoints=Spa%20Thermal%20Park%2C%20Taupo%2C%20New%20Zealand%7CTaupo%20Lakefront%2C%20Taupo%2C%20New%20Zealand</t>
  </si>
  <si>
    <t>30</t>
  </si>
  <si>
    <r>
      <rPr>
        <rFont val="Calibri"/>
        <b/>
        <color theme="1"/>
        <sz val="11.0"/>
      </rPr>
      <t xml:space="preserve">Dag 31 – Rotorua
</t>
    </r>
    <r>
      <rPr>
        <rFont val="Calibri"/>
        <color theme="1"/>
        <sz val="11.0"/>
      </rPr>
      <t>- Rit naar Rotorua (ca. 1 uur)
- Bezoek Wai-o-Tapu of Te Puia (geisers, modderpoelen)
- Maori diner &amp; show</t>
    </r>
  </si>
  <si>
    <t>https://www.google.com/maps/dir/?api=1&amp;origin=76%20Napier-Taupo%20Road%2C%20Taupo%203330%2C%20New%20Zealand&amp;destination=436%20Ngongotaha%20Road%2C%20Rotorua%203015%2C%20New%20Zealand&amp;travelmode=driving&amp;waypoints=Wai-O-Tapu%20Thermal%20Wonderland%2C%20Rotorua%2C%20New%20Zealand%7CTe%20Puia%2C%20Hemo%20Road%2C%20Rotorua%2C%20New%20Zealand</t>
  </si>
  <si>
    <t>31</t>
  </si>
  <si>
    <r>
      <rPr>
        <rFont val="Calibri"/>
        <b/>
        <color theme="1"/>
        <sz val="11.0"/>
      </rPr>
      <t xml:space="preserve">Dag 32 – Rotorua
</t>
    </r>
    <r>
      <rPr>
        <rFont val="Calibri"/>
        <color theme="1"/>
        <sz val="11.0"/>
      </rPr>
      <t>- Wandel door Redwoods Forest (suspension bridges)
- Middag spa bij Polynesian Spa</t>
    </r>
  </si>
  <si>
    <t>https://www.google.com/maps/dir/?api=1&amp;origin=436%20Ngongotaha%20Road%2C%20Rotorua%203015%2C%20New%20Zealand&amp;destination=436%20Ngongotaha%20Road%2C%20Rotorua%203015%2C%20New%20Zealand&amp;travelmode=driving&amp;waypoints=Redwoods%20Treewalk%2C%20Rotorua%2C%20New%20Zealand%7CPolynesian%20Spa%2C%20Rotorua%2C%20New%20Zealand%7CRotorua%20Lakefront%2C%20Rotorua%2C%20New%20Zealand</t>
  </si>
  <si>
    <t>32</t>
  </si>
  <si>
    <r>
      <rPr>
        <rFont val="Calibri"/>
        <b/>
        <color theme="1"/>
        <sz val="11.0"/>
      </rPr>
      <t xml:space="preserve">Dag 33 – Coromandel
</t>
    </r>
    <r>
      <rPr>
        <rFont val="Calibri"/>
        <color theme="1"/>
        <sz val="11.0"/>
      </rPr>
      <t>- Rit naar Coromandel (ca. 3 uur excl stops)
- via Putaruru Blue Spring
- Riverside Adventures Waikato (3 uur durende tour 9:30am and 1:30pm)</t>
    </r>
  </si>
  <si>
    <t>80 km</t>
  </si>
  <si>
    <t>https://www.riversideadventures.co.nz/daytime-canyon-kayak-tour/</t>
  </si>
  <si>
    <t>https://www.google.com/maps/dir/?api=1&amp;origin=436%20Ngongotaha%20Road%2C%20Rotorua%203015%2C%20New%20Zealand&amp;destination=790%20Hot%20Water%20Beach%20Road%2C%20Whitianga%203591%2C%20New%20Zealand&amp;travelmode=driving&amp;waypoints=Blue%20Spring%20Te%20Waihou%20Walkway%2C%20Leslie%20Road%2C%20Putaruru%2C%20New%20Zealand%7CRiverside%20Adventures%20Waikato%2C%20396%20Horahora%20Road%2C%20Piarere%2C%20New%20Zealand</t>
  </si>
  <si>
    <t>33</t>
  </si>
  <si>
    <r>
      <rPr>
        <rFont val="Calibri"/>
        <b/>
        <color theme="1"/>
        <sz val="11.0"/>
      </rPr>
      <t>Dag 34 – Coromandel</t>
    </r>
    <r>
      <rPr>
        <rFont val="Calibri"/>
        <color theme="1"/>
        <sz val="11.0"/>
      </rPr>
      <t xml:space="preserve">
- Bezoek Hot Water Beach
- Wandeling naar Cathedral Cove</t>
    </r>
  </si>
  <si>
    <t>160 km</t>
  </si>
  <si>
    <t>2u40</t>
  </si>
  <si>
    <t>https://www.haheiholidays.co.nz/</t>
  </si>
  <si>
    <t>https://www.google.com/maps/dir/?api=1&amp;origin=790%20Hot%20Water%20Beach%20Road%2C%20Whitianga%203591%2C%20New%20Zealand&amp;destination=790%20Hot%20Water%20Beach%20Road%2C%20Whitianga%203591%2C%20New%20Zealand&amp;travelmode=driving&amp;waypoints=Hot%20Water%20Beach%2C%20Waikato%2C%20New%20Zealand%7CCathedral%20Cove%20Gateway%20Trail%2C%20150%20Lees%20Road%2C%20Hahei%2C%20New%20Zealand%7CHahei%20Beach%2C%20Hahei%2C%20New%20Zealand</t>
  </si>
  <si>
    <r>
      <rPr>
        <color rgb="FF1155CC"/>
        <u/>
      </rPr>
      <t>https://www.komoot.com/nl-nl/tour/2616122360</t>
    </r>
    <r>
      <rPr/>
      <t xml:space="preserve"> 
</t>
    </r>
  </si>
  <si>
    <t>34</t>
  </si>
  <si>
    <r>
      <rPr>
        <rFont val="Calibri"/>
        <b/>
        <color theme="1"/>
        <sz val="11.0"/>
      </rPr>
      <t xml:space="preserve">Dag 35 – Coromandel
</t>
    </r>
    <r>
      <rPr>
        <rFont val="Calibri"/>
        <color theme="1"/>
        <sz val="11.0"/>
      </rPr>
      <t>- Hahei</t>
    </r>
  </si>
  <si>
    <t>https://www.google.com/maps/dir/?api=1&amp;origin=790%20Hot%20Water%20Beach%20Road%2C%20Whitianga%203591%2C%20New%20Zealand&amp;destination=790%20Hot%20Water%20Beach%20Road%2C%20Whitianga%203591%2C%20New%20Zealand&amp;travelmode=driving&amp;waypoints=Hahei%20Beach%2C%20Hahei%2C%20New%20Zealand%7CCooks%20Beach%2C%20Waikato%2C%20New%20Zealand%7CShakespeare%20Cliff%20Lookout%2C%20Cooks%20Beach%2C%20New%20Zealand</t>
  </si>
  <si>
    <t>35</t>
  </si>
  <si>
    <r>
      <rPr>
        <rFont val="Calibri"/>
        <b/>
        <color theme="1"/>
        <sz val="11.0"/>
      </rPr>
      <t xml:space="preserve">Dag 36 – Coromandel
</t>
    </r>
    <r>
      <rPr>
        <rFont val="Calibri"/>
        <color theme="1"/>
        <sz val="11.0"/>
      </rPr>
      <t>- Verken kustwegen
- Optioneel: kajakken of dolfijnentocht</t>
    </r>
  </si>
  <si>
    <t>https://www.google.com/maps/dir/?api=1&amp;origin=790%20Hot%20Water%20Beach%20Road%2C%20Whitianga%203591%2C%20New%20Zealand&amp;destination=790%20Hot%20Water%20Beach%20Road%2C%20Whitianga%203591%2C%20New%20Zealand&amp;travelmode=driving&amp;waypoints=Whitianga%20Wharf%2C%20Whitianga%2C%20New%20Zealand%7CKuaotunu%20Beach%2C%20Waikato%2C%20New%20Zealand%7CNew%20Chums%20Beach%20Track%2C%20Whangapoua%2C%20New%20Zealand%7CCoromandel%20Town%2C%20New%20Zealand</t>
  </si>
  <si>
    <t>36</t>
  </si>
  <si>
    <t xml:space="preserve">Dag 37 – Coromandel
</t>
  </si>
  <si>
    <t>https://www.google.com/maps/dir/?api=1&amp;origin=790%20Hot%20Water%20Beach%20Road%2C%20Whitianga%203591%2C%20New%20Zealand&amp;destination=790%20Hot%20Water%20Beach%20Road%2C%20Whitianga%203591%2C%20New%20Zealand&amp;travelmode=driving&amp;waypoints=Hot%20Water%20Beach%2C%20Waikato%2C%20New%20Zealand</t>
  </si>
  <si>
    <t>37</t>
  </si>
  <si>
    <r>
      <rPr>
        <rFont val="Calibri"/>
        <b/>
        <color theme="1"/>
        <sz val="11.0"/>
      </rPr>
      <t xml:space="preserve">Dag 38 – Auckland
</t>
    </r>
    <r>
      <rPr>
        <rFont val="Calibri"/>
        <color theme="1"/>
        <sz val="11.0"/>
      </rPr>
      <t>- Rit naar Auckland (ca. 4 uur)
- Middag/avond in de stad</t>
    </r>
  </si>
  <si>
    <t>170 km</t>
  </si>
  <si>
    <t>https://www.google.com/maps/dir/?api=1&amp;origin=790%20Hot%20Water%20Beach%20Road%2C%20Whitianga%203591%2C%20New%20Zealand&amp;destination=71%20Mayoral%20Drive%2C%20corner%20Vincent%20Street%2C%20Auckland%201010%2C%20New%20Zealand&amp;travelmode=driving&amp;waypoints=Thames%2C%20New%20Zealand%7CMount%20Eden%20Summit%2C%20Auckland%2C%20New%20Zealand%7CViaduct%20Harbour%2C%20Auckland%2C%20New%20Zealand</t>
  </si>
  <si>
    <t>38</t>
  </si>
  <si>
    <r>
      <rPr>
        <rFont val="Calibri"/>
        <b/>
        <color theme="1"/>
        <sz val="11.0"/>
      </rPr>
      <t>Dag 39 – Auckland</t>
    </r>
    <r>
      <rPr>
        <rFont val="Calibri"/>
        <color theme="1"/>
        <sz val="11.0"/>
      </rPr>
      <t xml:space="preserve">
- Middag/avond in de stad</t>
    </r>
  </si>
  <si>
    <t>https://www.google.com/maps/dir/?api=1&amp;origin=71%20Mayoral%20Drive%2C%20corner%20Vincent%20Street%2C%20Auckland%201010%2C%20New%20Zealand&amp;destination=71%20Mayoral%20Drive%2C%20corner%20Vincent%20Street%2C%20Auckland%201010%2C%20New%20Zealand&amp;travelmode=driving&amp;waypoints=Sky%20Tower%2C%20Auckland%2C%20New%20Zealand%7CAuckland%20War%20Memorial%20Museum%2C%20Auckland%2C%20New%20Zealand%7CMount%20Eden%20Summit%2C%20Auckland%2C%20New%20Zealand%7CViaduct%20Harbour%2C%20Auckland%2C%20New%20Zealand</t>
  </si>
  <si>
    <t>Dag 1 – Aankomst</t>
  </si>
  <si>
    <t>https://www.rwsentosa.com/en/play/universal-studios-singapore</t>
  </si>
  <si>
    <t>https://www.google.com/maps/dir/?api=1&amp;origin=Grand%20Copthorne%20Waterfront%20Singapore%2C%20392%20Havelock%20Road%2C%20Singapore%20169663&amp;destination=Grand%20Copthorne%20Waterfront%20Singapore%2C%20392%20Havelock%20Road%2C%20Singapore%20169663&amp;travelmode=walking&amp;waypoints=Robertson%20Quay%2C%20Singapore%7CSingapore%20River%20Promenade%2C%20Singapore%7CClarke%20Quay%2C%20Singapore</t>
  </si>
  <si>
    <t>39</t>
  </si>
  <si>
    <t>https://www.google.com/maps/dir/?api=1&amp;origin=71%20Mayoral%20Drive%2C%20corner%20Vincent%20Street%2C%20Auckland%201010%2C%20New%20Zealand&amp;destination=Auckland%20Airport%20International%20Terminal%2C%20Auckland%2C%20New%20Zealand&amp;travelmode=driving</t>
  </si>
  <si>
    <t>Dag 2 – Marina Bay &amp; Gardens by the Bay
Ochtend
- Wandeling bij Marina Bay → foto bij Merlion Park
- Eventueel Singapore River boottocht (45 min)
Middag
- Lunch in hawker center (Lau Pa Sat of Satay by the Bay)
- Gardens by the Bay:
- Flower Dome + Cloud Forest
- Gratis: SuperTree Grove wandeling
- Kids spelen in waterzone / kleine speeltuin
Avond
- Supertree Grove lightshow (19:45 &amp; 20:45)
- Optioneel: Marina Bay Sands SkyPark voor uitzicht</t>
  </si>
  <si>
    <t>https://www.google.com/maps/dir/?api=1&amp;origin=Grand%20Copthorne%20Waterfront%20Singapore%2C%20392%20Havelock%20Road%2C%20Singapore%20169663&amp;destination=Grand%20Copthorne%20Waterfront%20Singapore%2C%20392%20Havelock%20Road%2C%20Singapore%20169663&amp;travelmode=driving&amp;waypoints=Singapore%20River%20Cruise%2C%20Clarke%20Quay%20Jetty%2C%20Singapore%7CMerlion%20Park%2C%20Singapore%7CLau%20Pa%20Sat%2C%2018%20Raffles%20Quay%2C%20Singapore%7CMarina%20Bay%20Sands%20SkyPark%20Observation%20Deck%2C%20Singapore%7CFlower%20Dome%2C%20Gardens%20by%20the%20Bay%2C%20Singapore%7CCloud%20Forest%2C%20Gardens%20by%20the%20Bay%2C%20Singapore%7CFar%20East%20Organization%20Children's%20Garden%2C%20Singapore%7CSupertree%20Grove%2C%20Singapore</t>
  </si>
  <si>
    <t>Dag 3 – Wildlife &amp; Night Safari
Ochtend
- Mandai 5‑parks pass: begin bij Singapore Zoo
- Orang-oetans, primaten, Splash Playground
- Rustmoment / snackpauze
Middag
- River Wonders: panda’s, bootje, kindvriendelijk
- Terug naar hotel → rust
Avond
- Night Safari (tram door de jungle, ±19:30–22:00)
- Eten bij het park of hotel</t>
  </si>
  <si>
    <t>https://www.mandai.com/en/discover-mandai.html</t>
  </si>
  <si>
    <t>https://www.google.com/maps/dir/?api=1&amp;origin=Grand%20Copthorne%20Waterfront%20Singapore%2C%20392%20Havelock%20Road%2C%20Singapore%20169663&amp;destination=Grand%20Copthorne%20Waterfront%20Singapore%2C%20392%20Havelock%20Road%2C%20Singapore%20169663&amp;travelmode=driving&amp;waypoints=Singapore%20Zoo%2C%2080%20Mandai%20Lake%20Road%2C%20Singapore%20729826%7CRiver%20Wonders%2C%2080%20Mandai%20Lake%20Road%2C%20Singapore%20729826%7CGrand%20Copthorne%20Waterfront%20Singapore%2C%20392%20Havelock%20Road%2C%20Singapore%20169663%7CNight%20Safari%2C%2080%20Mandai%20Lake%20Road%2C%20Singapore%20729826</t>
  </si>
  <si>
    <t>Dag 4 – Sentosa &amp; Universal Studios
Ochtend
- Vroeg naar Sentosa eiland
- Universal Studios Singapore (hele dag)
- Leuk voor kinderen 7–9 jaar
- Waterrides + shows
Middag
- Lunch in park of Sentosa (foodcourt / fastfood)
- Meer attracties Universal Studios
Avond
- Optioneel relax bij Palawan of Siloso Beach
- Terug naar stad → diner bij hotel / Clarke Quay</t>
  </si>
  <si>
    <t>https://www.google.com/maps/dir/?api=1&amp;origin=Grand%20Copthorne%20Waterfront%20Singapore%2C%20392%20Havelock%20Road%2C%20Singapore%20169663&amp;destination=Grand%20Copthorne%20Waterfront%20Singapore%2C%20392%20Havelock%20Road%2C%20Singapore%20169663&amp;travelmode=driving&amp;waypoints=Universal%20Studios%20Singapore%2C%208%20Sentosa%20Gateway%2C%20Singapore%20098269%7CPalawan%20Beach%2C%20Sentosa%2C%20Singapore%7CSiloso%20Beach%2C%20Sentosa%2C%20Singapore%7CClarke%20Quay%2C%20Singapore</t>
  </si>
  <si>
    <t>Dag 5 - Vertrek</t>
  </si>
  <si>
    <t>https://www.google.com/maps/dir/?api=1&amp;origin=Grand%20Copthorne%20Waterfront%20Singapore%2C%20392%20Havelock%20Road%2C%20Singapore%20169663&amp;destination=Singapore%20Changi%20Airport%2C%20Airport%20Boulevard%2C%20Singapore&amp;travelmode=driving</t>
  </si>
  <si>
    <t>Dag 1 – Aankomst &amp; door naar Khao Lak - Aankomst Phuket (14:05) - Transfer naar Khao Lak (ca. 1 uur) - Inchecken en rustig bijkomen - Korte strandwandeling</t>
  </si>
  <si>
    <t>https://www.google.com/maps/dir/?api=1&amp;origin=Grand%20Copthorne%20Waterfront%20Singapore%2C%20392%20Havelock%20Road%2C%20Singapore%20169663&amp;destination=The%20Sands%20Khao%20Lak%20by%20Katathani%2C%2010%2F18%20Petchkasem%20Road%2C%20Moo%207%2C%20Khuk%20Khak%2C%20Takua%20Pa%2C%20Phang%20Nga%2082220%2C%20Thailand&amp;travelmode=transit&amp;waypoints=Singapore%20Changi%20Airport%2C%20Singapore%7CPhuket%20International%20Airport%2C%20Phuket%2C%20Thailand</t>
  </si>
  <si>
    <t>Dag 2 – Strand &amp; relax - Rustig opstarten - Strand en zwembad - Eventueel massage of relaxmoment - olifanten opvang?</t>
  </si>
  <si>
    <t>https://www.google.com/maps/dir/?api=1&amp;origin=The%20Sands%20Khao%20Lak%20by%20Katathani%2C%2010%2F18%20Petchkasem%20Road%2C%20Moo%207%2C%20Khuk%20Khak%2C%20Takua%20Pa%2C%20Phang%20Nga%2082220%2C%20Thailand&amp;destination=The%20Sands%20Khao%20Lak%20by%20Katathani%2C%2010%2F18%20Petchkasem%20Road%2C%20Moo%207%2C%20Khuk%20Khak%2C%20Takua%20Pa%2C%20Phang%20Nga%2082220%2C%20Thailand&amp;travelmode=walking&amp;waypoints=Nang%20Thong%20Beach%2C%20Khao%20Lak%2C%20Thailand%7CKhao%20Lak%20Center%2C%20Phang%20Nga%2C%20Thailand</t>
  </si>
  <si>
    <t>Dag 3 – Natuur &amp; lokaal - Bezoek Khao Lak–Lam Ru National Park - Junglewandeling en waterval - Middag strand - Avondmarkt Optioneel snorkeltrip Similan/Surin eilanden</t>
  </si>
  <si>
    <t>https://www.google.com/maps/dir/?api=1&amp;origin=The%20Sands%20Khao%20Lak%20by%20Katathani%2C%2010%2F18%20Petchkasem%20Road%2C%20Moo%207%2C%20Khuk%20Khak%2C%20Takua%20Pa%2C%20Phang%20Nga%2082220%2C%20Thailand&amp;destination=The%20Sands%20Khao%20Lak%20by%20Katathani%2C%2010%2F18%20Petchkasem%20Road%2C%20Moo%207%2C%20Khuk%20Khak%2C%20Takua%20Pa%2C%20Phang%20Nga%2082220%2C%20Thailand&amp;travelmode=driving&amp;waypoints=Khao%20Lak-Lam%20Ru%20National%20Park%20Visitor%20Center%2C%20Phang%20Nga%2C%20Thailand%7CTon%20Chong%20Fa%20Waterfall%2C%20Khuekkhak%2C%20Phang%20Nga%2C%20Thailand%7CBang%20Niang%20Market%2C%20Khao%20Lak%2C%20Thailand</t>
  </si>
  <si>
    <t>Dag 4 –  Naar Khao Sok - Transfer naar Khao Sok National Park (ca. 2 uur) - Incheck jungle lodge - Rivierwandeling of tubing</t>
  </si>
  <si>
    <t>https://www.google.com/maps/dir/?api=1&amp;origin=The%20Sands%20Khao%20Lak%20by%20Katathani%2C%2010%2F18%20Petchkasem%20Road%2C%20Moo%207%2C%20Khuk%20Khak%2C%20Takua%20Pa%2C%20Phang%20Nga%2082220%2C%20Thailand&amp;destination=Magical%20Mountain%20View%20Resort%2C%20292%2F1%20Moo%207%2C%20Khlong%20Sok%2C%20Phanom%2C%20Surat%20Thani%2084250%2C%20Thailand&amp;travelmode=driving&amp;waypoints=Khao%20Sok%20National%20Park%20Visitor%20Center%2C%20Khlong%20Sok%2C%20Thailand%7CSok%20River%2C%20Khlong%20Sok%2C%20Thailand</t>
  </si>
  <si>
    <t>Dag 5 – Cheow Lan Lake - Boottocht tussen kalksteenrotsen - Kajakken en zwemmen - Overnachting drijvende bungalow</t>
  </si>
  <si>
    <t>https://www.google.com/maps/dir/?api=1&amp;origin=Magical%20Mountain%20View%20Resort%2C%20292%2F1%20Moo%207%2C%20Khlong%20Sok%2C%20Phanom%2C%20Surat%20Thani%2084250%2C%20Thailand&amp;destination=Cheow%20Lan%20Lake%2C%20Khao%20Phang%2C%20Ban%20Ta%20Khun%20District%2C%20Surat%20Thani%2C%20Thailand&amp;travelmode=driving&amp;waypoints=Ratchaprapha%20Dam%20Scenic%20Viewpoint%2C%20Surat%20Thani%2C%20Thailand%7CRatchaprapha%20Marina%2C%20Ban%20Ta%20Khun%2C%20Surat%20Thani%2C%20Thailand</t>
  </si>
  <si>
    <t>Dag 6 – Transfer + ferry naar Koh Lanta (±3–4 uur)
Inchecken in resort aan Long Beach (Phra Ae Beach)
Strandmiddag, zwemmen en relaxen</t>
  </si>
  <si>
    <t>https://www.google.com/maps/dir/?api=1&amp;origin=Cheow%20Lan%20Lake%2C%20Khao%20Phang%2C%20Ban%20Ta%20Khun%20District%2C%20Surat%20Thani%2C%20Thailand&amp;destination=Sai%20Naam%20Lanta%20Residence%2C%20541%2F2%20Moo%202%2C%20Long%20Beach%2C%20Saladan%2C%20Koh%20Lanta%2C%20Krabi%2081150%2C%20Thailand&amp;travelmode=driving&amp;waypoints=Ratchaprapha%20Marina%2C%20Ban%20Ta%20Khun%2C%20Surat%20Thani%2C%20Thailand%7CHua%20Hin%20Pier%2C%20Khlong%20Yang%2C%20Krabi%2C%20Thailand</t>
  </si>
  <si>
    <t>Dag 7 – korte boottochtje naar dichtbijgelegen eilandje of mangrove kajak (met gids)</t>
  </si>
  <si>
    <t>https://www.google.com/maps/dir/?api=1&amp;origin=Sai%20Naam%20Lanta%20Residence%2C%20541%2F2%20Moo%202%2C%20Long%20Beach%2C%20Saladan%2C%20Koh%20Lanta%2C%20Krabi%2081150%2C%20Thailand&amp;destination=Sai%20Naam%20Lanta%20Residence%2C%20541%2F2%20Moo%202%2C%20Long%20Beach%2C%20Saladan%2C%20Koh%20Lanta%2C%20Krabi%2081150%2C%20Thailand&amp;travelmode=driving&amp;waypoints=Thung%20Yee%20Pheng%20Mangrove%20Forest%2C%20Koh%20Lanta%2C%20Thailand%7CLong%20Beach%2C%20Koh%20Lanta%2C%20Thailand</t>
  </si>
  <si>
    <t>Dag 8 – Optioneel: korte snorkelexcursie bij nabijgelegen eilandjes</t>
  </si>
  <si>
    <t>https://www.google.com/maps/dir/?api=1&amp;origin=Sai%20Naam%20Lanta%20Residence%2C%20541%2F2%20Moo%202%2C%20Long%20Beach%2C%20Saladan%2C%20Koh%20Lanta%2C%20Krabi%2081150%2C%20Thailand&amp;destination=Sai%20Naam%20Lanta%20Residence%2C%20541%2F2%20Moo%202%2C%20Long%20Beach%2C%20Saladan%2C%20Koh%20Lanta%2C%20Krabi%2081150%2C%20Thailand&amp;travelmode=driving&amp;waypoints=Saladan%20Pier%2C%20Koh%20Lanta%2C%20Thailand</t>
  </si>
  <si>
    <t>Dag 9 –  Naar Koh Phi Phi - Boottransfer - Inchecken - Strand en korte verkenning</t>
  </si>
  <si>
    <t>https://www.google.com/maps/dir/?api=1&amp;origin=Sai%20Naam%20Lanta%20Residence%2C%20541%2F2%20Moo%202%2C%20Long%20Beach%2C%20Saladan%2C%20Koh%20Lanta%2C%20Krabi%2081150%2C%20Thailand&amp;destination=Long%20Beach%2C%20Ko%20Phi%20Phi%20Don%2C%20Krabi%2C%20Thailand&amp;travelmode=transit&amp;waypoints=Saladan%20Pier%2C%20Koh%20Lanta%2C%20Thailand%7CTonsai%20Pier%2C%20Ko%20Phi%20Phi%20Don%2C%20Thailand</t>
  </si>
  <si>
    <t>Aankomst op Kilimanjaro International Airport</t>
  </si>
  <si>
    <t>Ilboru Safari Lodge; 2 Standard Double Room &amp; 1 Family Interconnected Family (One room)</t>
  </si>
  <si>
    <t>Tarangire National Park</t>
  </si>
  <si>
    <t>Tarangire Safari Lodge; 2 Standard Double Room &amp; 1 Standard Family (One room)</t>
  </si>
  <si>
    <t>Dag 10 – Ferry naar Koh Phi Phi (±1,5 uur) Stranddag - Zwemmen en snorkelen - Relaxen</t>
  </si>
  <si>
    <t>https://www.google.com/maps/dir/?api=1&amp;origin=Long%20Beach%2C%20Ko%20Phi%20Phi%20Don%2C%20Krabi%2C%20Thailand&amp;destination=Long%20Beach%2C%20Ko%20Phi%20Phi%20Don%2C%20Krabi%2C%20Thailand&amp;travelmode=walking&amp;waypoints=Tonsai%20Pier%2C%20Ko%20Phi%20Phi%20Don%2C%20Thailand%7CLoh%20Dalum%20Beach%2C%20Ko%20Phi%20Phi%20Don%2C%20Thailand</t>
  </si>
  <si>
    <t>Manyara Best View Lodge and Spa; 2 Standard Double Room &amp; 1 Standard Family (One room)</t>
  </si>
  <si>
    <t>Ndutu (van eind december t/m maart tijdens het kalverseizoen van de Grote Trek)</t>
  </si>
  <si>
    <t>Dag 11 – Stranddag -Maya Bay - Vroege boottocht - Maya Bay en Bamboo Island - Middag vrij</t>
  </si>
  <si>
    <t>Kon Tiki Migration Tented Camp Ndutu; 2 Standard Tent Double Room &amp; 1 Standard Tent Family (One room)</t>
  </si>
  <si>
    <t>https://www.google.com/maps/dir/?api=1&amp;origin=Long%20Beach%2C%20Ko%20Phi%20Phi%20Don%2C%20Krabi%2C%20Thailand&amp;destination=Long%20Beach%2C%20Ko%20Phi%20Phi%20Don%2C%20Krabi%2C%20Thailand&amp;travelmode=walking&amp;waypoints=Tonsai%20Pier%2C%20Ko%20Phi%20Phi%20Don%2C%20Thailand%7CMaya%20Bay%2C%20Ko%20Phi%20Phi%20Leh%2C%20Thailand%7CBamboo%20Island%2C%20Krabi%2C%20Thailand</t>
  </si>
  <si>
    <t>Serengeti National Park (centraal west/oost)</t>
  </si>
  <si>
    <t>Kubu Kubu Tented Lodge by Tanganyika Wilderness Camps; 2 Standard Double Room &amp; 1 Standard Family (One room)</t>
  </si>
  <si>
    <t>Autorit van Serengeti naar Ngorongoro voor een overnachting</t>
  </si>
  <si>
    <t>Dag 12 – Zwemmen bij stranden (Loh Dalum, Long Beach)</t>
  </si>
  <si>
    <t>Ang'ata Ngorongoro Camp; 2 Standard Tent Double Room &amp; 1 Standard Tent Family (One room)</t>
  </si>
  <si>
    <t>https://www.google.com/maps/dir/?api=1&amp;origin=Long%20Beach%2C%20Ko%20Phi%20Phi%20Don%2C%20Krabi%2C%20Thailand&amp;destination=Long%20Beach%2C%20Ko%20Phi%20Phi%20Don%2C%20Krabi%2C%20Thailand&amp;travelmode=walking&amp;waypoints=Loh%20Moo%20Dee%20Beach%2C%20Ko%20Phi%20Phi%20Don%2C%20Thailand%7CLoh%20Dalum%20Beach%2C%20Ko%20Phi%20Phi%20Don%2C%20Thailand</t>
  </si>
  <si>
    <t>Ngorongoro Conservation Area (incl. krater)</t>
  </si>
  <si>
    <t>West Kilimanjaro → Kilimanjaro Airport → AMS</t>
  </si>
  <si>
    <t>Internationale vlucht huiswaarts vanaf Kilimanjaro Int. Airport</t>
  </si>
  <si>
    <t>—</t>
  </si>
  <si>
    <t>Dag 13 –  Ferry naar Ao Nang (±2 uur)  Boottocht naar Railay Beach / Phra Nang Beach Naar Railay - Boot naar Railay Beach - Strand en grotten verkennen</t>
  </si>
  <si>
    <t>https://www.google.com/maps/dir/?api=1&amp;origin=Long%20Beach%2C%20Ko%20Phi%20Phi%20Don%2C%20Krabi%2C%20Thailand&amp;destination=Poonsiri%20Resort%20Aonang%2C%20211%20Moo%204%2C%20Ao%20Nang%2C%20Mueang%20Krabi%2C%20Krabi%2081000%2C%20Thailand&amp;travelmode=transit&amp;waypoints=Tonsai%20Pier%2C%20Ko%20Phi%20Phi%20Don%2C%20Thailand%7CNopparat%20Thara%20Pier%2C%20Ao%20Nang%2C%20Thailand%7CRailay%20Beach%2C%20Krabi%2C%20Thailand%7CPhra%20Nang%20Cave%20Beach%2C%20Krabi%2C%20Thailand</t>
  </si>
  <si>
    <t>Dag 14 – Avontuur - Kajakken langs kliffen - Viewpoint wandeling - Phra Nang Beach</t>
  </si>
  <si>
    <t>https://www.google.com/maps/dir/?api=1&amp;origin=Poonsiri%20Resort%20Aonang%2C%20211%20Moo%204%2C%20Ao%20Nang%2C%20Mueang%20Krabi%2C%20Krabi%2081000%2C%20Thailand&amp;destination=Poonsiri%20Resort%20Aonang%2C%20211%20Moo%204%2C%20Ao%20Nang%2C%20Mueang%20Krabi%2C%20Krabi%2081000%2C%20Thailand&amp;travelmode=driving&amp;waypoints=Ao%20Nam%20Mao%20Pier%2C%20Krabi%2C%20Thailand%7CRailay%20Viewpoint%2C%20Krabi%2C%20Thailand%7CPhra%20Nang%20Cave%20Beach%2C%20Krabi%2C%20Thailand%7CAo%20Nam%20Mao%20Pier%2C%20Krabi%2C%20Thailand</t>
  </si>
  <si>
    <t>Dag 15 – Terug naar Phuket - Boot + transfer - Laatste middag relaxen - Overnachting bij airport</t>
  </si>
  <si>
    <t>https://www.google.com/maps/dir/?api=1&amp;origin=Poonsiri%20Resort%20Aonang%2C%20211%20Moo%204%2C%20Ao%20Nang%2C%20Mueang%20Krabi%2C%20Krabi%2081000%2C%20Thailand&amp;destination=Baan%20Karon%20Resort%2C%20213%20Patak%20Road%2C%20Karon%2C%20Phuket%2083100%2C%20Thailand&amp;travelmode=transit&amp;waypoints=Nopparat%20Thara%20Pier%2C%20Ao%20Nang%2C%20Thailand%7CRassada%20Pier%2C%20Phuket%2C%20Thailand</t>
  </si>
  <si>
    <t>Dag 16 -</t>
  </si>
  <si>
    <t>https://www.google.com/maps/dir/?api=1&amp;origin=Baan%20Karon%20Resort%2C%20213%20Patak%20Road%2C%20Karon%2C%20Phuket%2083100%2C%20Thailand&amp;destination=Baan%20Karon%20Resort%2C%20213%20Patak%20Road%2C%20Karon%2C%20Phuket%2083100%2C%20Thailand&amp;travelmode=walking&amp;waypoints=Karon%20Beach%2C%20Phuket%2C%20Thailand</t>
  </si>
  <si>
    <t>Dag 17 -</t>
  </si>
  <si>
    <t>https://www.google.com/maps/dir/?api=1&amp;origin=Baan%20Karon%20Resort%2C%20213%20Patak%20Road%2C%20Karon%2C%20Phuket%2083100%2C%20Thailand&amp;destination=Baan%20Karon%20Resort%2C%20213%20Patak%20Road%2C%20Karon%2C%20Phuket%2083100%2C%20Thailand&amp;travelmode=walking&amp;waypoints=Kata%20Beach%2C%20Phuket%2C%20Thailand%7CKata%20Night%20Market%2C%20Phuket%2C%20Thailand</t>
  </si>
  <si>
    <t>Dag 18 – Transfer naar luchthaven - Vlucht 09:00</t>
  </si>
  <si>
    <t>https://www.google.com/maps/dir/?api=1&amp;origin=Baan%20Karon%20Resort%2C%20213%20Patak%20Road%2C%20Karon%2C%20Phuket%2083100%2C%20Thailand&amp;destination=Phuket%20International%20Airport%2C%20International%20Terminal%2C%20222%20Moo%206%2C%20Mai%20Khao%2C%20Thalang%2C%20Phuket%2C%20Thailand&amp;travelmode=driving</t>
  </si>
  <si>
    <t>Dag 19 - Hele dag doha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</si>
</sst>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€-2]\ #,##0.00"/>
    <numFmt numFmtId="165" formatCode="d-M-yyyy"/>
    <numFmt numFmtId="166" formatCode="d mmmm yyyy"/>
    <numFmt numFmtId="167" formatCode="[$€-2]\ #,##0"/>
    <numFmt numFmtId="168" formatCode="h&quot;:&quot;mm"/>
    <numFmt numFmtId="169" formatCode="&quot;€&quot;\ #,##0.00"/>
    <numFmt numFmtId="170" formatCode="&quot;€&quot;#,##0"/>
    <numFmt numFmtId="171" formatCode="&quot;€&quot;#,##0.00"/>
    <numFmt numFmtId="172" formatCode="d mmm"/>
    <numFmt numFmtId="173" formatCode="dd-mm-yyyy"/>
    <numFmt numFmtId="174" formatCode="mmm yyyy"/>
    <numFmt numFmtId="175" formatCode="d-m-yyyy"/>
    <numFmt numFmtId="176" formatCode="mmmm yyyy"/>
    <numFmt numFmtId="177" formatCode="d mmm yyyy"/>
  </numFmts>
  <fonts count="71">
    <font>
      <sz val="12.0"/>
      <color theme="1"/>
      <name val="Calibri"/>
      <scheme val="minor"/>
    </font>
    <font>
      <b/>
      <color theme="1"/>
      <name val="Calibri"/>
      <scheme val="minor"/>
    </font>
    <font>
      <b/>
      <sz val="13.0"/>
      <color theme="1"/>
      <name val="Calibri"/>
      <scheme val="minor"/>
    </font>
    <font/>
    <font>
      <b/>
      <sz val="10.0"/>
      <color theme="1"/>
      <name val="Calibri"/>
      <scheme val="minor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6.0"/>
      <color rgb="FF000000"/>
      <name val="Calibri"/>
    </font>
    <font>
      <sz val="12.0"/>
      <color theme="1"/>
      <name val="Calibri"/>
    </font>
    <font>
      <b/>
      <color rgb="FF000000"/>
      <name val="Calibri"/>
      <scheme val="minor"/>
    </font>
    <font>
      <b/>
      <sz val="12.0"/>
      <color rgb="FF000000"/>
      <name val="Calibri"/>
    </font>
    <font>
      <b/>
      <sz val="11.0"/>
      <color theme="1"/>
      <name val="Calibri"/>
    </font>
    <font>
      <i/>
      <sz val="12.0"/>
      <color theme="1"/>
      <name val="Calibri"/>
    </font>
    <font>
      <b/>
      <sz val="12.0"/>
      <color theme="1"/>
      <name val="Calibri"/>
    </font>
    <font>
      <u/>
      <color rgb="FF0000FF"/>
    </font>
    <font>
      <b/>
      <sz val="14.0"/>
      <color theme="1"/>
      <name val="Calibri"/>
      <scheme val="minor"/>
    </font>
    <font>
      <sz val="14.0"/>
      <color theme="1"/>
      <name val="Calibri"/>
      <scheme val="minor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u/>
      <color rgb="FF0000FF"/>
    </font>
    <font>
      <b/>
      <i/>
      <sz val="12.0"/>
      <color theme="1"/>
      <name val="Calibri"/>
    </font>
    <font>
      <u/>
      <color rgb="FF0000FF"/>
    </font>
    <font>
      <sz val="12.0"/>
      <color theme="1"/>
      <name val="Arial"/>
    </font>
    <font>
      <u/>
      <color rgb="FF0000FF"/>
    </font>
    <font>
      <u/>
      <color rgb="FF0000FF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u/>
      <color rgb="FF0000FF"/>
    </font>
    <font>
      <u/>
      <color rgb="FF0000FF"/>
    </font>
    <font>
      <u/>
      <color rgb="FF0563C1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1155CC"/>
    </font>
    <font>
      <b/>
      <sz val="20.0"/>
      <color rgb="FFFFFFFF"/>
      <name val="&quot;Aptos Display&quot;"/>
    </font>
    <font>
      <b/>
      <sz val="11.0"/>
      <color rgb="FFB42318"/>
      <name val="Aptos"/>
    </font>
    <font>
      <b/>
      <color rgb="FFFFFFFF"/>
      <name val="Aptos"/>
    </font>
    <font>
      <b/>
      <sz val="11.0"/>
      <color rgb="FF16324F"/>
      <name val="Arial"/>
    </font>
    <font>
      <b/>
      <sz val="12.0"/>
      <color rgb="FFB42318"/>
      <name val="Aptos"/>
    </font>
    <font>
      <color rgb="FF1F2937"/>
      <name val="Arial"/>
    </font>
    <font>
      <color rgb="FF1F2937"/>
      <name val="Aptos"/>
    </font>
    <font>
      <sz val="9.0"/>
      <color rgb="FF245C36"/>
      <name val="Aptos"/>
    </font>
    <font>
      <sz val="9.0"/>
      <color rgb="FF245C36"/>
      <name val="Arial"/>
    </font>
    <font>
      <i/>
      <sz val="9.0"/>
      <color rgb="FF5D6B78"/>
      <name val="Aptos"/>
    </font>
    <font>
      <u/>
      <color rgb="FF0000FF"/>
    </font>
    <font>
      <b/>
      <sz val="23.0"/>
      <color rgb="FF000000"/>
      <name val="Arial"/>
    </font>
    <font>
      <b/>
      <sz val="17.0"/>
      <color rgb="FF000000"/>
      <name val="Arial"/>
    </font>
    <font>
      <sz val="11.0"/>
      <color rgb="FF000000"/>
      <name val="Arial"/>
    </font>
    <font>
      <u/>
      <color rgb="FF0000FF"/>
    </font>
    <font>
      <sz val="11.0"/>
      <color rgb="FFFF0000"/>
      <name val="Arial"/>
    </font>
    <font>
      <u/>
      <color rgb="FF0000FF"/>
    </font>
    <font>
      <b/>
      <sz val="11.0"/>
      <color rgb="FFFF0000"/>
      <name val="Arial"/>
    </font>
    <font>
      <u/>
      <color rgb="FF1155CC"/>
    </font>
    <font>
      <sz val="11.0"/>
      <color theme="1"/>
      <name val="Calibri"/>
      <scheme val="minor"/>
    </font>
    <font>
      <u/>
      <color rgb="FF0000FF"/>
    </font>
    <font>
      <u/>
      <color rgb="FF0000FF"/>
    </font>
    <font>
      <sz val="11.0"/>
      <color rgb="FF444444"/>
      <name val="Inherit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</font>
    <font>
      <u/>
      <color rgb="FF0000FF"/>
    </font>
    <font>
      <color rgb="FFFFFFFF"/>
      <name val="Calibri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b/>
      <u/>
      <sz val="11.0"/>
      <color rgb="FF0000FF"/>
      <name val="Calibri"/>
    </font>
    <font>
      <b/>
      <sz val="20.0"/>
      <color theme="1"/>
      <name val="Calibri"/>
      <scheme val="minor"/>
    </font>
    <font>
      <sz val="11.0"/>
      <color rgb="FF000000"/>
      <name val="Calibri"/>
    </font>
  </fonts>
  <fills count="4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57BB8A"/>
        <bgColor rgb="FF57BB8A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BDD6EE"/>
        <bgColor rgb="FFBDD6EE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339966"/>
        <bgColor rgb="FF339966"/>
      </patternFill>
    </fill>
    <fill>
      <patternFill patternType="solid">
        <fgColor rgb="FFFEF2CB"/>
        <bgColor rgb="FFFEF2CB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666666"/>
        <bgColor rgb="FF666666"/>
      </patternFill>
    </fill>
    <fill>
      <patternFill patternType="solid">
        <fgColor rgb="FF3D85C6"/>
        <bgColor rgb="FF3D85C6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9900FF"/>
        <bgColor rgb="FF9900FF"/>
      </patternFill>
    </fill>
    <fill>
      <patternFill patternType="solid">
        <fgColor rgb="FFFFD966"/>
        <bgColor rgb="FFFFD966"/>
      </patternFill>
    </fill>
    <fill>
      <patternFill patternType="solid">
        <fgColor rgb="FFDDEBF7"/>
        <bgColor rgb="FFDDEBF7"/>
      </patternFill>
    </fill>
    <fill>
      <patternFill patternType="solid">
        <fgColor rgb="FFBFBFBF"/>
        <bgColor rgb="FFBFBFBF"/>
      </patternFill>
    </fill>
    <fill>
      <patternFill patternType="solid">
        <fgColor rgb="FFEAD1DC"/>
        <bgColor rgb="FFEAD1DC"/>
      </patternFill>
    </fill>
    <fill>
      <patternFill patternType="solid">
        <fgColor rgb="FF16324F"/>
        <bgColor rgb="FF16324F"/>
      </patternFill>
    </fill>
    <fill>
      <patternFill patternType="solid">
        <fgColor rgb="FFFEE4E2"/>
        <bgColor rgb="FFFEE4E2"/>
      </patternFill>
    </fill>
    <fill>
      <patternFill patternType="solid">
        <fgColor rgb="FF2F6690"/>
        <bgColor rgb="FF2F6690"/>
      </patternFill>
    </fill>
    <fill>
      <patternFill patternType="solid">
        <fgColor rgb="FFEAF2F8"/>
        <bgColor rgb="FFEAF2F8"/>
      </patternFill>
    </fill>
    <fill>
      <patternFill patternType="solid">
        <fgColor rgb="FFE8F5E9"/>
        <bgColor rgb="FFE8F5E9"/>
      </patternFill>
    </fill>
    <fill>
      <patternFill patternType="solid">
        <fgColor rgb="FFF3F5F7"/>
        <bgColor rgb="FFF3F5F7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</fills>
  <borders count="61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16324F"/>
      </left>
      <top style="thin">
        <color rgb="FF16324F"/>
      </top>
      <bottom style="thin">
        <color rgb="FF16324F"/>
      </bottom>
    </border>
    <border>
      <top style="thin">
        <color rgb="FF16324F"/>
      </top>
      <bottom style="thin">
        <color rgb="FF16324F"/>
      </bottom>
    </border>
    <border>
      <bottom style="thin">
        <color rgb="FFCBD5E1"/>
      </bottom>
    </border>
  </borders>
  <cellStyleXfs count="1">
    <xf borderId="0" fillId="0" fontId="0" numFmtId="0" applyAlignment="1" applyFont="1"/>
  </cellStyleXfs>
  <cellXfs count="4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textRotation="45" wrapText="1"/>
    </xf>
    <xf borderId="1" fillId="3" fontId="2" numFmtId="0" xfId="0" applyAlignment="1" applyBorder="1" applyFill="1" applyFont="1">
      <alignment horizontal="left" readingOrder="0"/>
    </xf>
    <xf borderId="2" fillId="2" fontId="1" numFmtId="0" xfId="0" applyAlignment="1" applyBorder="1" applyFont="1">
      <alignment horizontal="center" readingOrder="0" shrinkToFit="0" textRotation="45" wrapText="1"/>
    </xf>
    <xf borderId="3" fillId="0" fontId="3" numFmtId="0" xfId="0" applyBorder="1" applyFont="1"/>
    <xf borderId="4" fillId="2" fontId="4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 textRotation="45"/>
    </xf>
    <xf borderId="5" fillId="0" fontId="3" numFmtId="0" xfId="0" applyBorder="1" applyFont="1"/>
    <xf borderId="6" fillId="0" fontId="3" numFmtId="0" xfId="0" applyBorder="1" applyFont="1"/>
    <xf borderId="2" fillId="2" fontId="1" numFmtId="0" xfId="0" applyAlignment="1" applyBorder="1" applyFont="1">
      <alignment readingOrder="0" textRotation="45"/>
    </xf>
    <xf borderId="7" fillId="2" fontId="2" numFmtId="0" xfId="0" applyAlignment="1" applyBorder="1" applyFont="1">
      <alignment horizontal="left" readingOrder="0" shrinkToFit="0" wrapText="1"/>
    </xf>
    <xf borderId="8" fillId="0" fontId="3" numFmtId="0" xfId="0" applyBorder="1" applyFont="1"/>
    <xf borderId="2" fillId="3" fontId="5" numFmtId="0" xfId="0" applyAlignment="1" applyBorder="1" applyFont="1">
      <alignment horizontal="right" readingOrder="0" textRotation="45"/>
    </xf>
    <xf borderId="9" fillId="2" fontId="2" numFmtId="0" xfId="0" applyAlignment="1" applyBorder="1" applyFont="1">
      <alignment horizontal="left" readingOrder="0" shrinkToFit="0" wrapText="1"/>
    </xf>
    <xf borderId="10" fillId="4" fontId="6" numFmtId="0" xfId="0" applyAlignment="1" applyBorder="1" applyFill="1" applyFont="1">
      <alignment readingOrder="0"/>
    </xf>
    <xf borderId="2" fillId="3" fontId="5" numFmtId="4" xfId="0" applyAlignment="1" applyBorder="1" applyFont="1" applyNumberFormat="1">
      <alignment horizontal="right" readingOrder="0" textRotation="45"/>
    </xf>
    <xf borderId="2" fillId="2" fontId="2" numFmtId="0" xfId="0" applyAlignment="1" applyBorder="1" applyFont="1">
      <alignment horizontal="left" readingOrder="0" shrinkToFit="0" wrapText="1"/>
    </xf>
    <xf borderId="2" fillId="4" fontId="6" numFmtId="0" xfId="0" applyAlignment="1" applyBorder="1" applyFont="1">
      <alignment readingOrder="0"/>
    </xf>
    <xf borderId="11" fillId="2" fontId="1" numFmtId="0" xfId="0" applyAlignment="1" applyBorder="1" applyFont="1">
      <alignment readingOrder="0" textRotation="45" vertical="bottom"/>
    </xf>
    <xf borderId="12" fillId="4" fontId="6" numFmtId="0" xfId="0" applyAlignment="1" applyBorder="1" applyFont="1">
      <alignment readingOrder="0"/>
    </xf>
    <xf borderId="11" fillId="2" fontId="1" numFmtId="0" xfId="0" applyAlignment="1" applyBorder="1" applyFont="1">
      <alignment readingOrder="0" textRotation="45"/>
    </xf>
    <xf borderId="13" fillId="3" fontId="7" numFmtId="0" xfId="0" applyBorder="1" applyFont="1"/>
    <xf borderId="14" fillId="5" fontId="6" numFmtId="0" xfId="0" applyAlignment="1" applyBorder="1" applyFill="1" applyFont="1">
      <alignment readingOrder="0"/>
    </xf>
    <xf borderId="2" fillId="2" fontId="2" numFmtId="49" xfId="0" applyAlignment="1" applyBorder="1" applyFont="1" applyNumberFormat="1">
      <alignment horizontal="left" readingOrder="0" shrinkToFit="0" wrapText="1"/>
    </xf>
    <xf borderId="2" fillId="5" fontId="6" numFmtId="164" xfId="0" applyAlignment="1" applyBorder="1" applyFont="1" applyNumberFormat="1">
      <alignment readingOrder="0"/>
    </xf>
    <xf borderId="15" fillId="2" fontId="2" numFmtId="0" xfId="0" applyAlignment="1" applyBorder="1" applyFont="1">
      <alignment horizontal="left" readingOrder="0" shrinkToFit="0" wrapText="1"/>
    </xf>
    <xf borderId="16" fillId="3" fontId="8" numFmtId="0" xfId="0" applyBorder="1" applyFont="1"/>
    <xf borderId="11" fillId="2" fontId="1" numFmtId="0" xfId="0" applyAlignment="1" applyBorder="1" applyFont="1">
      <alignment readingOrder="0" shrinkToFit="0" textRotation="45" wrapText="0"/>
    </xf>
    <xf borderId="12" fillId="5" fontId="6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textRotation="45"/>
    </xf>
    <xf borderId="13" fillId="6" fontId="7" numFmtId="0" xfId="0" applyBorder="1" applyFill="1" applyFont="1"/>
    <xf borderId="10" fillId="0" fontId="6" numFmtId="0" xfId="0" applyAlignment="1" applyBorder="1" applyFont="1">
      <alignment readingOrder="0"/>
    </xf>
    <xf borderId="16" fillId="6" fontId="9" numFmtId="0" xfId="0" applyBorder="1" applyFont="1"/>
    <xf borderId="2" fillId="0" fontId="6" numFmtId="164" xfId="0" applyAlignment="1" applyBorder="1" applyFont="1" applyNumberFormat="1">
      <alignment readingOrder="0"/>
    </xf>
    <xf borderId="0" fillId="0" fontId="9" numFmtId="0" xfId="0" applyFont="1"/>
    <xf borderId="0" fillId="4" fontId="5" numFmtId="0" xfId="0" applyAlignment="1" applyFont="1">
      <alignment horizontal="center" readingOrder="0"/>
    </xf>
    <xf borderId="7" fillId="7" fontId="5" numFmtId="165" xfId="0" applyAlignment="1" applyBorder="1" applyFill="1" applyFont="1" applyNumberFormat="1">
      <alignment horizontal="left" readingOrder="0"/>
    </xf>
    <xf borderId="2" fillId="4" fontId="5" numFmtId="166" xfId="0" applyAlignment="1" applyBorder="1" applyFont="1" applyNumberFormat="1">
      <alignment horizontal="center" readingOrder="0"/>
    </xf>
    <xf borderId="9" fillId="7" fontId="5" numFmtId="165" xfId="0" applyAlignment="1" applyBorder="1" applyFont="1" applyNumberFormat="1">
      <alignment horizontal="left" readingOrder="0"/>
    </xf>
    <xf borderId="2" fillId="7" fontId="5" numFmtId="0" xfId="0" applyAlignment="1" applyBorder="1" applyFont="1">
      <alignment horizontal="right" readingOrder="0"/>
    </xf>
    <xf borderId="2" fillId="7" fontId="5" numFmtId="167" xfId="0" applyAlignment="1" applyBorder="1" applyFont="1" applyNumberFormat="1">
      <alignment horizontal="left" readingOrder="0"/>
    </xf>
    <xf borderId="2" fillId="8" fontId="5" numFmtId="0" xfId="0" applyAlignment="1" applyBorder="1" applyFill="1" applyFont="1">
      <alignment horizontal="right" readingOrder="0"/>
    </xf>
    <xf borderId="2" fillId="7" fontId="5" numFmtId="0" xfId="0" applyAlignment="1" applyBorder="1" applyFont="1">
      <alignment horizontal="left" readingOrder="0"/>
    </xf>
    <xf borderId="2" fillId="0" fontId="5" numFmtId="0" xfId="0" applyAlignment="1" applyBorder="1" applyFont="1">
      <alignment readingOrder="0" vertical="top"/>
    </xf>
    <xf borderId="2" fillId="7" fontId="5" numFmtId="164" xfId="0" applyAlignment="1" applyBorder="1" applyFont="1" applyNumberFormat="1">
      <alignment horizontal="right" readingOrder="0"/>
    </xf>
    <xf borderId="12" fillId="0" fontId="6" numFmtId="0" xfId="0" applyAlignment="1" applyBorder="1" applyFont="1">
      <alignment readingOrder="0"/>
    </xf>
    <xf borderId="2" fillId="7" fontId="5" numFmtId="168" xfId="0" applyAlignment="1" applyBorder="1" applyFont="1" applyNumberFormat="1">
      <alignment horizontal="left" readingOrder="0"/>
    </xf>
    <xf borderId="13" fillId="9" fontId="7" numFmtId="0" xfId="0" applyBorder="1" applyFill="1" applyFont="1"/>
    <xf borderId="2" fillId="3" fontId="5" numFmtId="0" xfId="0" applyBorder="1" applyFont="1"/>
    <xf quotePrefix="1" borderId="2" fillId="7" fontId="5" numFmtId="49" xfId="0" applyAlignment="1" applyBorder="1" applyFont="1" applyNumberFormat="1">
      <alignment horizontal="left" readingOrder="0"/>
    </xf>
    <xf borderId="16" fillId="9" fontId="10" numFmtId="0" xfId="0" applyBorder="1" applyFont="1"/>
    <xf borderId="2" fillId="10" fontId="5" numFmtId="0" xfId="0" applyAlignment="1" applyBorder="1" applyFill="1" applyFont="1">
      <alignment readingOrder="0"/>
    </xf>
    <xf borderId="15" fillId="7" fontId="5" numFmtId="167" xfId="0" applyAlignment="1" applyBorder="1" applyFont="1" applyNumberFormat="1">
      <alignment horizontal="left" readingOrder="0"/>
    </xf>
    <xf borderId="2" fillId="10" fontId="5" numFmtId="4" xfId="0" applyAlignment="1" applyBorder="1" applyFont="1" applyNumberFormat="1">
      <alignment readingOrder="0"/>
    </xf>
    <xf borderId="0" fillId="0" fontId="10" numFmtId="0" xfId="0" applyFont="1"/>
    <xf borderId="2" fillId="11" fontId="5" numFmtId="167" xfId="0" applyAlignment="1" applyBorder="1" applyFill="1" applyFont="1" applyNumberFormat="1">
      <alignment readingOrder="0"/>
    </xf>
    <xf borderId="13" fillId="12" fontId="7" numFmtId="0" xfId="0" applyBorder="1" applyFill="1" applyFont="1"/>
    <xf borderId="2" fillId="0" fontId="5" numFmtId="0" xfId="0" applyAlignment="1" applyBorder="1" applyFont="1">
      <alignment readingOrder="0"/>
    </xf>
    <xf borderId="17" fillId="12" fontId="9" numFmtId="0" xfId="0" applyBorder="1" applyFont="1"/>
    <xf borderId="16" fillId="12" fontId="9" numFmtId="0" xfId="0" applyBorder="1" applyFont="1"/>
    <xf borderId="2" fillId="0" fontId="5" numFmtId="167" xfId="0" applyAlignment="1" applyBorder="1" applyFont="1" applyNumberFormat="1">
      <alignment readingOrder="0" shrinkToFit="0" wrapText="0"/>
    </xf>
    <xf borderId="13" fillId="13" fontId="7" numFmtId="0" xfId="0" applyAlignment="1" applyBorder="1" applyFill="1" applyFont="1">
      <alignment readingOrder="0"/>
    </xf>
    <xf borderId="14" fillId="0" fontId="6" numFmtId="0" xfId="0" applyAlignment="1" applyBorder="1" applyFont="1">
      <alignment readingOrder="0"/>
    </xf>
    <xf borderId="16" fillId="13" fontId="9" numFmtId="0" xfId="0" applyBorder="1" applyFont="1"/>
    <xf borderId="18" fillId="0" fontId="6" numFmtId="164" xfId="0" applyAlignment="1" applyBorder="1" applyFont="1" applyNumberFormat="1">
      <alignment readingOrder="0"/>
    </xf>
    <xf borderId="19" fillId="0" fontId="8" numFmtId="0" xfId="0" applyBorder="1" applyFont="1"/>
    <xf borderId="20" fillId="0" fontId="8" numFmtId="0" xfId="0" applyBorder="1" applyFont="1"/>
    <xf borderId="19" fillId="0" fontId="5" numFmtId="0" xfId="0" applyBorder="1" applyFont="1"/>
    <xf borderId="20" fillId="0" fontId="11" numFmtId="0" xfId="0" applyAlignment="1" applyBorder="1" applyFont="1">
      <alignment horizontal="right"/>
    </xf>
    <xf borderId="0" fillId="0" fontId="8" numFmtId="0" xfId="0" applyFont="1"/>
    <xf borderId="20" fillId="0" fontId="5" numFmtId="0" xfId="0" applyBorder="1" applyFont="1"/>
    <xf borderId="21" fillId="6" fontId="8" numFmtId="0" xfId="0" applyBorder="1" applyFont="1"/>
    <xf borderId="2" fillId="4" fontId="4" numFmtId="0" xfId="0" applyAlignment="1" applyBorder="1" applyFont="1">
      <alignment readingOrder="0"/>
    </xf>
    <xf borderId="22" fillId="6" fontId="8" numFmtId="169" xfId="0" applyBorder="1" applyFont="1" applyNumberFormat="1"/>
    <xf borderId="2" fillId="7" fontId="5" numFmtId="49" xfId="0" applyAlignment="1" applyBorder="1" applyFont="1" applyNumberFormat="1">
      <alignment horizontal="left" readingOrder="0"/>
    </xf>
    <xf borderId="2" fillId="14" fontId="5" numFmtId="0" xfId="0" applyAlignment="1" applyBorder="1" applyFill="1" applyFont="1">
      <alignment readingOrder="0"/>
    </xf>
    <xf borderId="2" fillId="4" fontId="4" numFmtId="164" xfId="0" applyAlignment="1" applyBorder="1" applyFont="1" applyNumberFormat="1">
      <alignment readingOrder="0"/>
    </xf>
    <xf borderId="15" fillId="15" fontId="12" numFmtId="169" xfId="0" applyAlignment="1" applyBorder="1" applyFill="1" applyFont="1" applyNumberFormat="1">
      <alignment readingOrder="0"/>
    </xf>
    <xf borderId="19" fillId="4" fontId="13" numFmtId="0" xfId="0" applyAlignment="1" applyBorder="1" applyFont="1">
      <alignment readingOrder="0" shrinkToFit="0" wrapText="1"/>
    </xf>
    <xf borderId="0" fillId="0" fontId="5" numFmtId="170" xfId="0" applyAlignment="1" applyFont="1" applyNumberFormat="1">
      <alignment readingOrder="0"/>
    </xf>
    <xf borderId="2" fillId="4" fontId="13" numFmtId="0" xfId="0" applyAlignment="1" applyBorder="1" applyFont="1">
      <alignment shrinkToFit="0" vertical="top" wrapText="1"/>
    </xf>
    <xf borderId="23" fillId="4" fontId="13" numFmtId="0" xfId="0" applyAlignment="1" applyBorder="1" applyFont="1">
      <alignment vertical="top"/>
    </xf>
    <xf borderId="15" fillId="4" fontId="13" numFmtId="0" xfId="0" applyAlignment="1" applyBorder="1" applyFont="1">
      <alignment shrinkToFit="0" vertical="top" wrapText="1"/>
    </xf>
    <xf borderId="19" fillId="16" fontId="1" numFmtId="0" xfId="0" applyAlignment="1" applyBorder="1" applyFill="1" applyFont="1">
      <alignment readingOrder="0"/>
    </xf>
    <xf borderId="15" fillId="16" fontId="12" numFmtId="169" xfId="0" applyAlignment="1" applyBorder="1" applyFont="1" applyNumberFormat="1">
      <alignment readingOrder="0"/>
    </xf>
    <xf borderId="7" fillId="9" fontId="8" numFmtId="0" xfId="0" applyBorder="1" applyFont="1"/>
    <xf borderId="15" fillId="9" fontId="8" numFmtId="169" xfId="0" applyBorder="1" applyFont="1" applyNumberFormat="1"/>
    <xf borderId="2" fillId="0" fontId="14" numFmtId="167" xfId="0" applyAlignment="1" applyBorder="1" applyFont="1" applyNumberFormat="1">
      <alignment readingOrder="0" shrinkToFit="0" wrapText="0"/>
    </xf>
    <xf borderId="19" fillId="0" fontId="8" numFmtId="0" xfId="0" applyAlignment="1" applyBorder="1" applyFont="1">
      <alignment readingOrder="0"/>
    </xf>
    <xf borderId="2" fillId="0" fontId="5" numFmtId="0" xfId="0" applyAlignment="1" applyBorder="1" applyFont="1">
      <alignment readingOrder="0" shrinkToFit="0" vertical="top" wrapText="1"/>
    </xf>
    <xf borderId="2" fillId="15" fontId="12" numFmtId="0" xfId="0" applyAlignment="1" applyBorder="1" applyFont="1">
      <alignment readingOrder="0"/>
    </xf>
    <xf borderId="23" fillId="15" fontId="12" numFmtId="169" xfId="0" applyAlignment="1" applyBorder="1" applyFont="1" applyNumberFormat="1">
      <alignment readingOrder="0"/>
    </xf>
    <xf borderId="15" fillId="17" fontId="8" numFmtId="169" xfId="0" applyBorder="1" applyFill="1" applyFont="1" applyNumberFormat="1"/>
    <xf borderId="2" fillId="8" fontId="5" numFmtId="0" xfId="0" applyAlignment="1" applyBorder="1" applyFont="1">
      <alignment readingOrder="0" vertical="top"/>
    </xf>
    <xf borderId="7" fillId="12" fontId="8" numFmtId="0" xfId="0" applyBorder="1" applyFont="1"/>
    <xf borderId="15" fillId="12" fontId="8" numFmtId="169" xfId="0" applyBorder="1" applyFont="1" applyNumberFormat="1"/>
    <xf borderId="2" fillId="0" fontId="5" numFmtId="167" xfId="0" applyAlignment="1" applyBorder="1" applyFont="1" applyNumberFormat="1">
      <alignment readingOrder="0" shrinkToFit="0" wrapText="0"/>
    </xf>
    <xf borderId="7" fillId="18" fontId="12" numFmtId="169" xfId="0" applyAlignment="1" applyBorder="1" applyFill="1" applyFont="1" applyNumberFormat="1">
      <alignment readingOrder="0"/>
    </xf>
    <xf borderId="15" fillId="18" fontId="12" numFmtId="169" xfId="0" applyAlignment="1" applyBorder="1" applyFont="1" applyNumberFormat="1">
      <alignment readingOrder="0"/>
    </xf>
    <xf borderId="24" fillId="2" fontId="15" numFmtId="0" xfId="0" applyAlignment="1" applyBorder="1" applyFont="1">
      <alignment readingOrder="0"/>
    </xf>
    <xf borderId="25" fillId="2" fontId="16" numFmtId="0" xfId="0" applyBorder="1" applyFont="1"/>
    <xf borderId="26" fillId="2" fontId="1" numFmtId="0" xfId="0" applyAlignment="1" applyBorder="1" applyFont="1">
      <alignment readingOrder="0"/>
    </xf>
    <xf borderId="0" fillId="0" fontId="5" numFmtId="171" xfId="0" applyAlignment="1" applyFont="1" applyNumberFormat="1">
      <alignment readingOrder="0"/>
    </xf>
    <xf borderId="27" fillId="19" fontId="13" numFmtId="0" xfId="0" applyAlignment="1" applyBorder="1" applyFill="1" applyFont="1">
      <alignment readingOrder="0"/>
    </xf>
    <xf borderId="19" fillId="0" fontId="13" numFmtId="0" xfId="0" applyAlignment="1" applyBorder="1" applyFont="1">
      <alignment readingOrder="0"/>
    </xf>
    <xf borderId="28" fillId="15" fontId="12" numFmtId="169" xfId="0" applyAlignment="1" applyBorder="1" applyFont="1" applyNumberFormat="1">
      <alignment readingOrder="0"/>
    </xf>
    <xf borderId="29" fillId="20" fontId="13" numFmtId="0" xfId="0" applyBorder="1" applyFill="1" applyFont="1"/>
    <xf borderId="23" fillId="21" fontId="8" numFmtId="0" xfId="0" applyAlignment="1" applyBorder="1" applyFill="1" applyFont="1">
      <alignment vertical="bottom"/>
    </xf>
    <xf borderId="2" fillId="0" fontId="5" numFmtId="165" xfId="0" applyBorder="1" applyFont="1" applyNumberFormat="1"/>
    <xf borderId="2" fillId="0" fontId="5" numFmtId="0" xfId="0" applyBorder="1" applyFont="1"/>
    <xf borderId="30" fillId="20" fontId="13" numFmtId="169" xfId="0" applyBorder="1" applyFont="1" applyNumberFormat="1"/>
    <xf borderId="2" fillId="0" fontId="8" numFmtId="0" xfId="0" applyAlignment="1" applyBorder="1" applyFont="1">
      <alignment shrinkToFit="0" wrapText="0"/>
    </xf>
    <xf borderId="27" fillId="19" fontId="8" numFmtId="0" xfId="0" applyAlignment="1" applyBorder="1" applyFont="1">
      <alignment readingOrder="0"/>
    </xf>
    <xf borderId="2" fillId="0" fontId="5" numFmtId="165" xfId="0" applyAlignment="1" applyBorder="1" applyFont="1" applyNumberFormat="1">
      <alignment readingOrder="0"/>
    </xf>
    <xf borderId="19" fillId="22" fontId="8" numFmtId="0" xfId="0" applyAlignment="1" applyBorder="1" applyFill="1" applyFont="1">
      <alignment readingOrder="0"/>
    </xf>
    <xf borderId="15" fillId="22" fontId="12" numFmtId="169" xfId="0" applyAlignment="1" applyBorder="1" applyFont="1" applyNumberFormat="1">
      <alignment readingOrder="0"/>
    </xf>
    <xf borderId="31" fillId="8" fontId="13" numFmtId="0" xfId="0" applyBorder="1" applyFont="1"/>
    <xf borderId="32" fillId="8" fontId="13" numFmtId="169" xfId="0" applyBorder="1" applyFont="1" applyNumberFormat="1"/>
    <xf borderId="2" fillId="0" fontId="17" numFmtId="0" xfId="0" applyAlignment="1" applyBorder="1" applyFont="1">
      <alignment readingOrder="0" shrinkToFit="0" wrapText="0"/>
    </xf>
    <xf borderId="15" fillId="15" fontId="12" numFmtId="169" xfId="0" applyBorder="1" applyFont="1" applyNumberFormat="1"/>
    <xf borderId="23" fillId="21" fontId="8" numFmtId="0" xfId="0" applyAlignment="1" applyBorder="1" applyFont="1">
      <alignment readingOrder="0" vertical="bottom"/>
    </xf>
    <xf borderId="2" fillId="8" fontId="5" numFmtId="165" xfId="0" applyAlignment="1" applyBorder="1" applyFont="1" applyNumberFormat="1">
      <alignment readingOrder="0"/>
    </xf>
    <xf borderId="2" fillId="8" fontId="5" numFmtId="0" xfId="0" applyAlignment="1" applyBorder="1" applyFont="1">
      <alignment readingOrder="0"/>
    </xf>
    <xf borderId="19" fillId="16" fontId="13" numFmtId="0" xfId="0" applyAlignment="1" applyBorder="1" applyFont="1">
      <alignment readingOrder="0"/>
    </xf>
    <xf borderId="2" fillId="7" fontId="5" numFmtId="0" xfId="0" applyAlignment="1" applyBorder="1" applyFont="1">
      <alignment readingOrder="0"/>
    </xf>
    <xf borderId="21" fillId="3" fontId="13" numFmtId="0" xfId="0" applyAlignment="1" applyBorder="1" applyFont="1">
      <alignment readingOrder="0"/>
    </xf>
    <xf borderId="22" fillId="3" fontId="13" numFmtId="169" xfId="0" applyBorder="1" applyFont="1" applyNumberFormat="1"/>
    <xf quotePrefix="1" borderId="2" fillId="7" fontId="5" numFmtId="49" xfId="0" applyAlignment="1" applyBorder="1" applyFont="1" applyNumberFormat="1">
      <alignment readingOrder="0"/>
    </xf>
    <xf borderId="2" fillId="8" fontId="18" numFmtId="0" xfId="0" applyAlignment="1" applyBorder="1" applyFont="1">
      <alignment readingOrder="0" shrinkToFit="0" wrapText="0"/>
    </xf>
    <xf borderId="15" fillId="7" fontId="5" numFmtId="167" xfId="0" applyAlignment="1" applyBorder="1" applyFont="1" applyNumberFormat="1">
      <alignment readingOrder="0"/>
    </xf>
    <xf borderId="15" fillId="15" fontId="12" numFmtId="169" xfId="0" applyAlignment="1" applyBorder="1" applyFont="1" applyNumberFormat="1">
      <alignment readingOrder="0"/>
    </xf>
    <xf borderId="15" fillId="17" fontId="8" numFmtId="169" xfId="0" applyAlignment="1" applyBorder="1" applyFont="1" applyNumberFormat="1">
      <alignment readingOrder="0"/>
    </xf>
    <xf borderId="2" fillId="8" fontId="19" numFmtId="0" xfId="0" applyAlignment="1" applyBorder="1" applyFont="1">
      <alignment readingOrder="0" shrinkToFit="0" wrapText="0"/>
    </xf>
    <xf borderId="7" fillId="4" fontId="8" numFmtId="0" xfId="0" applyAlignment="1" applyBorder="1" applyFont="1">
      <alignment readingOrder="0"/>
    </xf>
    <xf borderId="15" fillId="4" fontId="8" numFmtId="169" xfId="0" applyBorder="1" applyFont="1" applyNumberFormat="1"/>
    <xf borderId="2" fillId="7" fontId="5" numFmtId="49" xfId="0" applyAlignment="1" applyBorder="1" applyFont="1" applyNumberFormat="1">
      <alignment readingOrder="0"/>
    </xf>
    <xf borderId="15" fillId="4" fontId="5" numFmtId="169" xfId="0" applyBorder="1" applyFont="1" applyNumberFormat="1"/>
    <xf borderId="2" fillId="8" fontId="20" numFmtId="0" xfId="0" applyAlignment="1" applyBorder="1" applyFont="1">
      <alignment readingOrder="0" shrinkToFit="0" wrapText="0"/>
    </xf>
    <xf borderId="29" fillId="4" fontId="5" numFmtId="0" xfId="0" applyAlignment="1" applyBorder="1" applyFont="1">
      <alignment readingOrder="0"/>
    </xf>
    <xf borderId="30" fillId="4" fontId="5" numFmtId="164" xfId="0" applyBorder="1" applyFont="1" applyNumberFormat="1"/>
    <xf borderId="2" fillId="15" fontId="12" numFmtId="0" xfId="0" applyBorder="1" applyFont="1"/>
    <xf borderId="23" fillId="15" fontId="12" numFmtId="169" xfId="0" applyBorder="1" applyFont="1" applyNumberFormat="1"/>
    <xf borderId="13" fillId="13" fontId="10" numFmtId="0" xfId="0" applyAlignment="1" applyBorder="1" applyFont="1">
      <alignment readingOrder="0"/>
    </xf>
    <xf borderId="20" fillId="13" fontId="10" numFmtId="0" xfId="0" applyBorder="1" applyFont="1"/>
    <xf borderId="2" fillId="8" fontId="5" numFmtId="165" xfId="0" applyBorder="1" applyFont="1" applyNumberFormat="1"/>
    <xf borderId="2" fillId="8" fontId="5" numFmtId="0" xfId="0" applyBorder="1" applyFont="1"/>
    <xf borderId="2" fillId="8" fontId="8" numFmtId="0" xfId="0" applyAlignment="1" applyBorder="1" applyFont="1">
      <alignment readingOrder="0" shrinkToFit="0" wrapText="0"/>
    </xf>
    <xf borderId="27" fillId="0" fontId="8" numFmtId="0" xfId="0" applyAlignment="1" applyBorder="1" applyFont="1">
      <alignment readingOrder="0"/>
    </xf>
    <xf borderId="0" fillId="8" fontId="12" numFmtId="169" xfId="0" applyFont="1" applyNumberFormat="1"/>
    <xf borderId="27" fillId="9" fontId="13" numFmtId="0" xfId="0" applyAlignment="1" applyBorder="1" applyFont="1">
      <alignment readingOrder="0"/>
    </xf>
    <xf borderId="28" fillId="15" fontId="12" numFmtId="169" xfId="0" applyBorder="1" applyFont="1" applyNumberFormat="1"/>
    <xf borderId="7" fillId="23" fontId="8" numFmtId="0" xfId="0" applyAlignment="1" applyBorder="1" applyFill="1" applyFont="1">
      <alignment readingOrder="0"/>
    </xf>
    <xf borderId="2" fillId="7" fontId="5" numFmtId="167" xfId="0" applyAlignment="1" applyBorder="1" applyFont="1" applyNumberFormat="1">
      <alignment readingOrder="0"/>
    </xf>
    <xf borderId="27" fillId="9" fontId="8" numFmtId="0" xfId="0" applyAlignment="1" applyBorder="1" applyFont="1">
      <alignment readingOrder="0"/>
    </xf>
    <xf borderId="15" fillId="23" fontId="8" numFmtId="169" xfId="0" applyAlignment="1" applyBorder="1" applyFont="1" applyNumberFormat="1">
      <alignment readingOrder="0"/>
    </xf>
    <xf borderId="19" fillId="0" fontId="8" numFmtId="0" xfId="0" applyAlignment="1" applyBorder="1" applyFont="1">
      <alignment readingOrder="0" vertical="bottom"/>
    </xf>
    <xf borderId="19" fillId="24" fontId="13" numFmtId="0" xfId="0" applyAlignment="1" applyBorder="1" applyFill="1" applyFont="1">
      <alignment readingOrder="0"/>
    </xf>
    <xf borderId="2" fillId="0" fontId="21" numFmtId="167" xfId="0" applyAlignment="1" applyBorder="1" applyFont="1" applyNumberFormat="1">
      <alignment readingOrder="0" shrinkToFit="0" wrapText="0"/>
    </xf>
    <xf borderId="27" fillId="23" fontId="13" numFmtId="0" xfId="0" applyAlignment="1" applyBorder="1" applyFont="1">
      <alignment readingOrder="0"/>
    </xf>
    <xf borderId="2" fillId="24" fontId="22" numFmtId="0" xfId="0" applyAlignment="1" applyBorder="1" applyFont="1">
      <alignment readingOrder="0"/>
    </xf>
    <xf borderId="23" fillId="24" fontId="22" numFmtId="169" xfId="0" applyAlignment="1" applyBorder="1" applyFont="1" applyNumberFormat="1">
      <alignment readingOrder="0"/>
    </xf>
    <xf borderId="27" fillId="13" fontId="8" numFmtId="0" xfId="0" applyAlignment="1" applyBorder="1" applyFont="1">
      <alignment readingOrder="0"/>
    </xf>
    <xf borderId="19" fillId="11" fontId="13" numFmtId="0" xfId="0" applyAlignment="1" applyBorder="1" applyFont="1">
      <alignment readingOrder="0"/>
    </xf>
    <xf borderId="2" fillId="11" fontId="12" numFmtId="0" xfId="0" applyAlignment="1" applyBorder="1" applyFont="1">
      <alignment readingOrder="0"/>
    </xf>
    <xf borderId="23" fillId="11" fontId="12" numFmtId="169" xfId="0" applyAlignment="1" applyBorder="1" applyFont="1" applyNumberFormat="1">
      <alignment readingOrder="0"/>
    </xf>
    <xf borderId="15" fillId="11" fontId="8" numFmtId="169" xfId="0" applyBorder="1" applyFont="1" applyNumberFormat="1"/>
    <xf borderId="15" fillId="25" fontId="12" numFmtId="169" xfId="0" applyAlignment="1" applyBorder="1" applyFill="1" applyFont="1" applyNumberFormat="1">
      <alignment readingOrder="0"/>
    </xf>
    <xf borderId="27" fillId="23" fontId="8" numFmtId="0" xfId="0" applyAlignment="1" applyBorder="1" applyFont="1">
      <alignment readingOrder="0"/>
    </xf>
    <xf borderId="29" fillId="26" fontId="22" numFmtId="169" xfId="0" applyAlignment="1" applyBorder="1" applyFill="1" applyFont="1" applyNumberFormat="1">
      <alignment readingOrder="0"/>
    </xf>
    <xf borderId="27" fillId="27" fontId="8" numFmtId="0" xfId="0" applyAlignment="1" applyBorder="1" applyFill="1" applyFont="1">
      <alignment readingOrder="0"/>
    </xf>
    <xf borderId="30" fillId="26" fontId="22" numFmtId="169" xfId="0" applyAlignment="1" applyBorder="1" applyFont="1" applyNumberFormat="1">
      <alignment readingOrder="0"/>
    </xf>
    <xf borderId="19" fillId="0" fontId="8" numFmtId="0" xfId="0" applyAlignment="1" applyBorder="1" applyFont="1">
      <alignment readingOrder="0" shrinkToFit="0" wrapText="1"/>
    </xf>
    <xf borderId="21" fillId="20" fontId="13" numFmtId="0" xfId="0" applyBorder="1" applyFont="1"/>
    <xf borderId="22" fillId="20" fontId="13" numFmtId="169" xfId="0" applyBorder="1" applyFont="1" applyNumberFormat="1"/>
    <xf borderId="29" fillId="14" fontId="13" numFmtId="0" xfId="0" applyAlignment="1" applyBorder="1" applyFont="1">
      <alignment readingOrder="0"/>
    </xf>
    <xf borderId="27" fillId="27" fontId="8" numFmtId="0" xfId="0" applyBorder="1" applyFont="1"/>
    <xf borderId="30" fillId="8" fontId="8" numFmtId="169" xfId="0" applyBorder="1" applyFont="1" applyNumberFormat="1"/>
    <xf borderId="15" fillId="28" fontId="12" numFmtId="169" xfId="0" applyAlignment="1" applyBorder="1" applyFill="1" applyFont="1" applyNumberFormat="1">
      <alignment readingOrder="0"/>
    </xf>
    <xf borderId="2" fillId="24" fontId="12" numFmtId="0" xfId="0" applyAlignment="1" applyBorder="1" applyFont="1">
      <alignment readingOrder="0"/>
    </xf>
    <xf borderId="23" fillId="24" fontId="12" numFmtId="169" xfId="0" applyBorder="1" applyFont="1" applyNumberFormat="1"/>
    <xf borderId="15" fillId="24" fontId="13" numFmtId="169" xfId="0" applyBorder="1" applyFont="1" applyNumberFormat="1"/>
    <xf borderId="0" fillId="0" fontId="5" numFmtId="167" xfId="0" applyAlignment="1" applyFont="1" applyNumberFormat="1">
      <alignment readingOrder="0"/>
    </xf>
    <xf borderId="13" fillId="23" fontId="8" numFmtId="0" xfId="0" applyAlignment="1" applyBorder="1" applyFont="1">
      <alignment horizontal="left" readingOrder="0" shrinkToFit="0" vertical="top" wrapText="1"/>
    </xf>
    <xf borderId="16" fillId="0" fontId="3" numFmtId="0" xfId="0" applyBorder="1" applyFont="1"/>
    <xf borderId="19" fillId="0" fontId="13" numFmtId="0" xfId="0" applyBorder="1" applyFont="1"/>
    <xf borderId="33" fillId="0" fontId="3" numFmtId="0" xfId="0" applyBorder="1" applyFont="1"/>
    <xf borderId="34" fillId="0" fontId="3" numFmtId="0" xfId="0" applyBorder="1" applyFont="1"/>
    <xf borderId="15" fillId="29" fontId="13" numFmtId="169" xfId="0" applyBorder="1" applyFill="1" applyFont="1" applyNumberFormat="1"/>
    <xf borderId="2" fillId="8" fontId="23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2" fillId="30" fontId="5" numFmtId="166" xfId="0" applyAlignment="1" applyBorder="1" applyFill="1" applyFont="1" applyNumberFormat="1">
      <alignment horizontal="center" readingOrder="0"/>
    </xf>
    <xf borderId="2" fillId="30" fontId="5" numFmtId="0" xfId="0" applyAlignment="1" applyBorder="1" applyFont="1">
      <alignment horizontal="right" readingOrder="0"/>
    </xf>
    <xf borderId="35" fillId="12" fontId="8" numFmtId="0" xfId="0" applyAlignment="1" applyBorder="1" applyFont="1">
      <alignment readingOrder="0" shrinkToFit="0" vertical="top" wrapText="1"/>
    </xf>
    <xf borderId="36" fillId="0" fontId="3" numFmtId="0" xfId="0" applyBorder="1" applyFont="1"/>
    <xf borderId="2" fillId="30" fontId="5" numFmtId="0" xfId="0" applyAlignment="1" applyBorder="1" applyFont="1">
      <alignment readingOrder="0"/>
    </xf>
    <xf borderId="2" fillId="30" fontId="5" numFmtId="0" xfId="0" applyBorder="1" applyFont="1"/>
    <xf borderId="2" fillId="30" fontId="5" numFmtId="4" xfId="0" applyAlignment="1" applyBorder="1" applyFont="1" applyNumberFormat="1">
      <alignment horizontal="right" readingOrder="0"/>
    </xf>
    <xf borderId="37" fillId="0" fontId="3" numFmtId="0" xfId="0" applyBorder="1" applyFont="1"/>
    <xf borderId="38" fillId="0" fontId="3" numFmtId="0" xfId="0" applyBorder="1" applyFont="1"/>
    <xf borderId="0" fillId="8" fontId="8" numFmtId="0" xfId="0" applyFont="1"/>
    <xf borderId="19" fillId="11" fontId="5" numFmtId="0" xfId="0" applyBorder="1" applyFont="1"/>
    <xf borderId="15" fillId="15" fontId="22" numFmtId="0" xfId="0" applyAlignment="1" applyBorder="1" applyFont="1">
      <alignment horizontal="center" readingOrder="0"/>
    </xf>
    <xf borderId="39" fillId="0" fontId="8" numFmtId="0" xfId="0" applyBorder="1" applyFont="1"/>
    <xf borderId="40" fillId="0" fontId="8" numFmtId="0" xfId="0" applyBorder="1" applyFont="1"/>
    <xf borderId="39" fillId="0" fontId="5" numFmtId="0" xfId="0" applyBorder="1" applyFont="1"/>
    <xf borderId="2" fillId="3" fontId="5" numFmtId="0" xfId="0" applyAlignment="1" applyBorder="1" applyFont="1">
      <alignment horizontal="right" readingOrder="0"/>
    </xf>
    <xf borderId="41" fillId="0" fontId="5" numFmtId="0" xfId="0" applyBorder="1" applyFont="1"/>
    <xf borderId="40" fillId="0" fontId="5" numFmtId="0" xfId="0" applyBorder="1" applyFont="1"/>
    <xf borderId="2" fillId="3" fontId="5" numFmtId="0" xfId="0" applyAlignment="1" applyBorder="1" applyFont="1">
      <alignment readingOrder="0"/>
    </xf>
    <xf borderId="39" fillId="14" fontId="8" numFmtId="0" xfId="0" applyAlignment="1" applyBorder="1" applyFont="1">
      <alignment readingOrder="0"/>
    </xf>
    <xf borderId="2" fillId="3" fontId="5" numFmtId="4" xfId="0" applyAlignment="1" applyBorder="1" applyFont="1" applyNumberFormat="1">
      <alignment horizontal="right" readingOrder="0"/>
    </xf>
    <xf borderId="2" fillId="3" fontId="5" numFmtId="167" xfId="0" applyAlignment="1" applyBorder="1" applyFont="1" applyNumberFormat="1">
      <alignment readingOrder="0"/>
    </xf>
    <xf borderId="40" fillId="14" fontId="8" numFmtId="2" xfId="0" applyBorder="1" applyFont="1" applyNumberFormat="1"/>
    <xf borderId="42" fillId="6" fontId="13" numFmtId="0" xfId="0" applyBorder="1" applyFont="1"/>
    <xf borderId="2" fillId="8" fontId="5" numFmtId="172" xfId="0" applyAlignment="1" applyBorder="1" applyFont="1" applyNumberFormat="1">
      <alignment readingOrder="0" shrinkToFit="0" wrapText="0"/>
    </xf>
    <xf borderId="43" fillId="6" fontId="13" numFmtId="169" xfId="0" applyBorder="1" applyFont="1" applyNumberFormat="1"/>
    <xf borderId="0" fillId="8" fontId="5" numFmtId="0" xfId="0" applyFont="1"/>
    <xf borderId="42" fillId="9" fontId="13" numFmtId="0" xfId="0" applyBorder="1" applyFont="1"/>
    <xf borderId="43" fillId="9" fontId="13" numFmtId="169" xfId="0" applyBorder="1" applyFont="1" applyNumberFormat="1"/>
    <xf borderId="44" fillId="12" fontId="13" numFmtId="0" xfId="0" applyBorder="1" applyFont="1"/>
    <xf borderId="27" fillId="18" fontId="5" numFmtId="0" xfId="0" applyAlignment="1" applyBorder="1" applyFont="1">
      <alignment readingOrder="0"/>
    </xf>
    <xf borderId="2" fillId="28" fontId="5" numFmtId="0" xfId="0" applyAlignment="1" applyBorder="1" applyFont="1">
      <alignment readingOrder="0"/>
    </xf>
    <xf borderId="45" fillId="12" fontId="13" numFmtId="0" xfId="0" applyBorder="1" applyFont="1"/>
    <xf borderId="46" fillId="12" fontId="13" numFmtId="169" xfId="0" applyBorder="1" applyFont="1" applyNumberFormat="1"/>
    <xf borderId="42" fillId="13" fontId="13" numFmtId="0" xfId="0" applyBorder="1" applyFont="1"/>
    <xf borderId="43" fillId="13" fontId="13" numFmtId="169" xfId="0" applyBorder="1" applyFont="1" applyNumberFormat="1"/>
    <xf borderId="2" fillId="0" fontId="5" numFmtId="167" xfId="0" applyAlignment="1" applyBorder="1" applyFont="1" applyNumberFormat="1">
      <alignment readingOrder="0"/>
    </xf>
    <xf borderId="0" fillId="8" fontId="8" numFmtId="0" xfId="0" applyAlignment="1" applyFont="1">
      <alignment readingOrder="0"/>
    </xf>
    <xf borderId="0" fillId="8" fontId="8" numFmtId="2" xfId="0" applyFont="1" applyNumberFormat="1"/>
    <xf borderId="0" fillId="0" fontId="13" numFmtId="0" xfId="0" applyFont="1"/>
    <xf borderId="0" fillId="0" fontId="13" numFmtId="169" xfId="0" applyFont="1" applyNumberFormat="1"/>
    <xf borderId="47" fillId="0" fontId="8" numFmtId="0" xfId="0" applyBorder="1" applyFont="1"/>
    <xf borderId="27" fillId="18" fontId="8" numFmtId="0" xfId="0" applyAlignment="1" applyBorder="1" applyFont="1">
      <alignment readingOrder="0"/>
    </xf>
    <xf borderId="27" fillId="23" fontId="5" numFmtId="0" xfId="0" applyBorder="1" applyFont="1"/>
    <xf borderId="27" fillId="31" fontId="5" numFmtId="0" xfId="0" applyAlignment="1" applyBorder="1" applyFill="1" applyFont="1">
      <alignment readingOrder="0"/>
    </xf>
    <xf borderId="2" fillId="32" fontId="5" numFmtId="0" xfId="0" applyAlignment="1" applyBorder="1" applyFill="1" applyFont="1">
      <alignment readingOrder="0"/>
    </xf>
    <xf borderId="27" fillId="31" fontId="5" numFmtId="0" xfId="0" applyBorder="1" applyFont="1"/>
    <xf borderId="2" fillId="4" fontId="5" numFmtId="167" xfId="0" applyAlignment="1" applyBorder="1" applyFont="1" applyNumberFormat="1">
      <alignment readingOrder="0"/>
    </xf>
    <xf borderId="27" fillId="31" fontId="5" numFmtId="0" xfId="0" applyBorder="1" applyFont="1"/>
    <xf quotePrefix="1" borderId="0" fillId="7" fontId="24" numFmtId="49" xfId="0" applyAlignment="1" applyFont="1" applyNumberFormat="1">
      <alignment readingOrder="0"/>
    </xf>
    <xf borderId="27" fillId="33" fontId="5" numFmtId="0" xfId="0" applyAlignment="1" applyBorder="1" applyFill="1" applyFont="1">
      <alignment readingOrder="0"/>
    </xf>
    <xf borderId="2" fillId="8" fontId="25" numFmtId="0" xfId="0" applyAlignment="1" applyBorder="1" applyFont="1">
      <alignment readingOrder="0" vertical="top"/>
    </xf>
    <xf borderId="2" fillId="7" fontId="8" numFmtId="0" xfId="0" applyAlignment="1" applyBorder="1" applyFont="1">
      <alignment vertical="bottom"/>
    </xf>
    <xf borderId="2" fillId="8" fontId="26" numFmtId="0" xfId="0" applyAlignment="1" applyBorder="1" applyFont="1">
      <alignment readingOrder="0" vertical="top"/>
    </xf>
    <xf borderId="27" fillId="23" fontId="5" numFmtId="0" xfId="0" applyAlignment="1" applyBorder="1" applyFont="1">
      <alignment readingOrder="0"/>
    </xf>
    <xf borderId="2" fillId="8" fontId="5" numFmtId="0" xfId="0" applyAlignment="1" applyBorder="1" applyFont="1">
      <alignment readingOrder="0" shrinkToFit="0" wrapText="0"/>
    </xf>
    <xf borderId="2" fillId="8" fontId="8" numFmtId="0" xfId="0" applyAlignment="1" applyBorder="1" applyFont="1">
      <alignment shrinkToFit="0" wrapText="0"/>
    </xf>
    <xf borderId="27" fillId="8" fontId="5" numFmtId="0" xfId="0" applyAlignment="1" applyBorder="1" applyFont="1">
      <alignment readingOrder="0"/>
    </xf>
    <xf borderId="27" fillId="34" fontId="1" numFmtId="0" xfId="0" applyAlignment="1" applyBorder="1" applyFill="1" applyFont="1">
      <alignment readingOrder="0"/>
    </xf>
    <xf borderId="27" fillId="34" fontId="5" numFmtId="0" xfId="0" applyAlignment="1" applyBorder="1" applyFont="1">
      <alignment readingOrder="0"/>
    </xf>
    <xf borderId="27" fillId="34" fontId="5" numFmtId="0" xfId="0" applyBorder="1" applyFont="1"/>
    <xf borderId="2" fillId="21" fontId="8" numFmtId="0" xfId="0" applyAlignment="1" applyBorder="1" applyFont="1">
      <alignment vertical="bottom"/>
    </xf>
    <xf borderId="2" fillId="35" fontId="8" numFmtId="0" xfId="0" applyAlignment="1" applyBorder="1" applyFill="1" applyFont="1">
      <alignment vertical="bottom"/>
    </xf>
    <xf borderId="2" fillId="19" fontId="8" numFmtId="0" xfId="0" applyAlignment="1" applyBorder="1" applyFont="1">
      <alignment readingOrder="0" vertical="bottom"/>
    </xf>
    <xf borderId="2" fillId="21" fontId="8" numFmtId="0" xfId="0" applyAlignment="1" applyBorder="1" applyFont="1">
      <alignment readingOrder="0" vertical="bottom"/>
    </xf>
    <xf borderId="27" fillId="0" fontId="5" numFmtId="0" xfId="0" applyBorder="1" applyFont="1"/>
    <xf borderId="27" fillId="14" fontId="1" numFmtId="0" xfId="0" applyAlignment="1" applyBorder="1" applyFont="1">
      <alignment readingOrder="0"/>
    </xf>
    <xf borderId="27" fillId="14" fontId="5" numFmtId="0" xfId="0" applyAlignment="1" applyBorder="1" applyFont="1">
      <alignment readingOrder="0"/>
    </xf>
    <xf borderId="2" fillId="0" fontId="5" numFmtId="4" xfId="0" applyBorder="1" applyFont="1" applyNumberFormat="1"/>
    <xf borderId="27" fillId="14" fontId="5" numFmtId="0" xfId="0" applyBorder="1" applyFont="1"/>
    <xf borderId="27" fillId="36" fontId="1" numFmtId="0" xfId="0" applyAlignment="1" applyBorder="1" applyFill="1" applyFont="1">
      <alignment readingOrder="0"/>
    </xf>
    <xf borderId="27" fillId="36" fontId="5" numFmtId="0" xfId="0" applyAlignment="1" applyBorder="1" applyFont="1">
      <alignment readingOrder="0"/>
    </xf>
    <xf borderId="28" fillId="0" fontId="5" numFmtId="0" xfId="0" applyBorder="1" applyFont="1"/>
    <xf borderId="48" fillId="21" fontId="8" numFmtId="0" xfId="0" applyAlignment="1" applyBorder="1" applyFont="1">
      <alignment vertical="bottom"/>
    </xf>
    <xf borderId="49" fillId="3" fontId="1" numFmtId="0" xfId="0" applyAlignment="1" applyBorder="1" applyFont="1">
      <alignment readingOrder="0"/>
    </xf>
    <xf borderId="2" fillId="0" fontId="5" numFmtId="4" xfId="0" applyAlignment="1" applyBorder="1" applyFont="1" applyNumberFormat="1">
      <alignment readingOrder="0"/>
    </xf>
    <xf borderId="49" fillId="3" fontId="1" numFmtId="169" xfId="0" applyBorder="1" applyFont="1" applyNumberFormat="1"/>
    <xf borderId="50" fillId="21" fontId="8" numFmtId="0" xfId="0" applyAlignment="1" applyBorder="1" applyFont="1">
      <alignment vertical="bottom"/>
    </xf>
    <xf borderId="0" fillId="21" fontId="8" numFmtId="0" xfId="0" applyAlignment="1" applyFont="1">
      <alignment vertical="bottom"/>
    </xf>
    <xf borderId="49" fillId="7" fontId="1" numFmtId="0" xfId="0" applyAlignment="1" applyBorder="1" applyFont="1">
      <alignment readingOrder="0"/>
    </xf>
    <xf borderId="49" fillId="7" fontId="1" numFmtId="164" xfId="0" applyBorder="1" applyFont="1" applyNumberFormat="1"/>
    <xf borderId="50" fillId="0" fontId="5" numFmtId="0" xfId="0" applyBorder="1" applyFont="1"/>
    <xf borderId="2" fillId="0" fontId="8" numFmtId="0" xfId="0" applyBorder="1" applyFont="1"/>
    <xf borderId="2" fillId="0" fontId="27" numFmtId="0" xfId="0" applyAlignment="1" applyBorder="1" applyFont="1">
      <alignment vertical="bottom"/>
    </xf>
    <xf borderId="2" fillId="0" fontId="27" numFmtId="4" xfId="0" applyAlignment="1" applyBorder="1" applyFont="1" applyNumberFormat="1">
      <alignment vertical="bottom"/>
    </xf>
    <xf borderId="0" fillId="0" fontId="27" numFmtId="0" xfId="0" applyAlignment="1" applyFont="1">
      <alignment vertical="bottom"/>
    </xf>
    <xf borderId="1" fillId="3" fontId="2" numFmtId="0" xfId="0" applyAlignment="1" applyBorder="1" applyFont="1">
      <alignment horizontal="center" readingOrder="0"/>
    </xf>
    <xf borderId="7" fillId="2" fontId="2" numFmtId="0" xfId="0" applyAlignment="1" applyBorder="1" applyFont="1">
      <alignment horizontal="center" readingOrder="0"/>
    </xf>
    <xf borderId="2" fillId="8" fontId="5" numFmtId="167" xfId="0" applyAlignment="1" applyBorder="1" applyFont="1" applyNumberFormat="1">
      <alignment readingOrder="0"/>
    </xf>
    <xf borderId="2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readingOrder="0"/>
    </xf>
    <xf borderId="15" fillId="2" fontId="2" numFmtId="0" xfId="0" applyAlignment="1" applyBorder="1" applyFont="1">
      <alignment horizontal="center" readingOrder="0"/>
    </xf>
    <xf borderId="51" fillId="37" fontId="28" numFmtId="166" xfId="0" applyAlignment="1" applyBorder="1" applyFill="1" applyFont="1" applyNumberFormat="1">
      <alignment readingOrder="0" vertical="top"/>
    </xf>
    <xf borderId="21" fillId="38" fontId="29" numFmtId="0" xfId="0" applyAlignment="1" applyBorder="1" applyFill="1" applyFont="1">
      <alignment horizontal="center" readingOrder="0" shrinkToFit="0" vertical="top" wrapText="0"/>
    </xf>
    <xf borderId="51" fillId="37" fontId="28" numFmtId="20" xfId="0" applyAlignment="1" applyBorder="1" applyFont="1" applyNumberFormat="1">
      <alignment readingOrder="0" vertical="top"/>
    </xf>
    <xf borderId="52" fillId="38" fontId="29" numFmtId="0" xfId="0" applyAlignment="1" applyBorder="1" applyFont="1">
      <alignment horizontal="center" readingOrder="0" shrinkToFit="0" vertical="top" wrapText="0"/>
    </xf>
    <xf borderId="51" fillId="37" fontId="28" numFmtId="0" xfId="0" applyAlignment="1" applyBorder="1" applyFont="1">
      <alignment readingOrder="0" vertical="top"/>
    </xf>
    <xf borderId="51" fillId="37" fontId="28" numFmtId="173" xfId="0" applyAlignment="1" applyBorder="1" applyFont="1" applyNumberFormat="1">
      <alignment readingOrder="0" vertical="top"/>
    </xf>
    <xf borderId="22" fillId="38" fontId="29" numFmtId="0" xfId="0" applyAlignment="1" applyBorder="1" applyFont="1">
      <alignment horizontal="center" readingOrder="0" shrinkToFit="0" vertical="top" wrapText="0"/>
    </xf>
    <xf borderId="51" fillId="37" fontId="28" numFmtId="167" xfId="0" applyAlignment="1" applyBorder="1" applyFont="1" applyNumberFormat="1">
      <alignment readingOrder="0" vertical="top"/>
    </xf>
    <xf borderId="0" fillId="8" fontId="11" numFmtId="0" xfId="0" applyAlignment="1" applyFont="1">
      <alignment horizontal="center" vertical="top"/>
    </xf>
    <xf borderId="7" fillId="5" fontId="5" numFmtId="174" xfId="0" applyAlignment="1" applyBorder="1" applyFont="1" applyNumberFormat="1">
      <alignment readingOrder="0"/>
    </xf>
    <xf borderId="2" fillId="8" fontId="8" numFmtId="0" xfId="0" applyAlignment="1" applyBorder="1" applyFont="1">
      <alignment vertical="bottom"/>
    </xf>
    <xf borderId="2" fillId="5" fontId="5" numFmtId="0" xfId="0" applyAlignment="1" applyBorder="1" applyFont="1">
      <alignment readingOrder="0"/>
    </xf>
    <xf borderId="2" fillId="5" fontId="5" numFmtId="0" xfId="0" applyAlignment="1" applyBorder="1" applyFont="1">
      <alignment readingOrder="0" shrinkToFit="0" wrapText="1"/>
    </xf>
    <xf borderId="2" fillId="8" fontId="8" numFmtId="0" xfId="0" applyAlignment="1" applyBorder="1" applyFont="1">
      <alignment vertical="bottom"/>
    </xf>
    <xf borderId="15" fillId="8" fontId="5" numFmtId="0" xfId="0" applyAlignment="1" applyBorder="1" applyFont="1">
      <alignment horizontal="center" readingOrder="0"/>
    </xf>
    <xf borderId="0" fillId="8" fontId="27" numFmtId="0" xfId="0" applyAlignment="1" applyFont="1">
      <alignment vertical="bottom"/>
    </xf>
    <xf borderId="2" fillId="8" fontId="8" numFmtId="0" xfId="0" applyAlignment="1" applyBorder="1" applyFont="1">
      <alignment readingOrder="0" vertical="bottom"/>
    </xf>
    <xf borderId="51" fillId="37" fontId="28" numFmtId="175" xfId="0" applyAlignment="1" applyBorder="1" applyFont="1" applyNumberFormat="1">
      <alignment readingOrder="0" vertical="top"/>
    </xf>
    <xf borderId="2" fillId="8" fontId="30" numFmtId="167" xfId="0" applyAlignment="1" applyBorder="1" applyFont="1" applyNumberFormat="1">
      <alignment readingOrder="0" shrinkToFit="0" wrapText="0"/>
    </xf>
    <xf borderId="0" fillId="8" fontId="27" numFmtId="0" xfId="0" applyAlignment="1" applyFont="1">
      <alignment readingOrder="0" vertical="bottom"/>
    </xf>
    <xf borderId="7" fillId="14" fontId="5" numFmtId="174" xfId="0" applyAlignment="1" applyBorder="1" applyFont="1" applyNumberFormat="1">
      <alignment readingOrder="0"/>
    </xf>
    <xf borderId="2" fillId="14" fontId="5" numFmtId="0" xfId="0" applyAlignment="1" applyBorder="1" applyFont="1">
      <alignment readingOrder="0" shrinkToFit="0" wrapText="1"/>
    </xf>
    <xf borderId="7" fillId="0" fontId="5" numFmtId="0" xfId="0" applyBorder="1" applyFont="1"/>
    <xf borderId="2" fillId="0" fontId="5" numFmtId="0" xfId="0" applyAlignment="1" applyBorder="1" applyFont="1">
      <alignment shrinkToFit="0" wrapText="1"/>
    </xf>
    <xf borderId="7" fillId="17" fontId="5" numFmtId="174" xfId="0" applyAlignment="1" applyBorder="1" applyFont="1" applyNumberFormat="1">
      <alignment readingOrder="0"/>
    </xf>
    <xf borderId="2" fillId="17" fontId="5" numFmtId="0" xfId="0" applyAlignment="1" applyBorder="1" applyFont="1">
      <alignment readingOrder="0"/>
    </xf>
    <xf borderId="2" fillId="8" fontId="31" numFmtId="167" xfId="0" applyAlignment="1" applyBorder="1" applyFont="1" applyNumberFormat="1">
      <alignment readingOrder="0" shrinkToFit="0" wrapText="0"/>
    </xf>
    <xf borderId="2" fillId="17" fontId="5" numFmtId="0" xfId="0" applyAlignment="1" applyBorder="1" applyFont="1">
      <alignment readingOrder="0" shrinkToFit="0" wrapText="1"/>
    </xf>
    <xf borderId="7" fillId="39" fontId="5" numFmtId="174" xfId="0" applyAlignment="1" applyBorder="1" applyFill="1" applyFont="1" applyNumberFormat="1">
      <alignment readingOrder="0"/>
    </xf>
    <xf borderId="2" fillId="39" fontId="5" numFmtId="0" xfId="0" applyAlignment="1" applyBorder="1" applyFont="1">
      <alignment readingOrder="0"/>
    </xf>
    <xf borderId="2" fillId="39" fontId="5" numFmtId="0" xfId="0" applyAlignment="1" applyBorder="1" applyFont="1">
      <alignment readingOrder="0" shrinkToFit="0" wrapText="1"/>
    </xf>
    <xf borderId="2" fillId="8" fontId="32" numFmtId="167" xfId="0" applyAlignment="1" applyBorder="1" applyFont="1" applyNumberFormat="1">
      <alignment readingOrder="0" shrinkToFit="0" wrapText="0"/>
    </xf>
    <xf borderId="7" fillId="7" fontId="5" numFmtId="166" xfId="0" applyAlignment="1" applyBorder="1" applyFont="1" applyNumberFormat="1">
      <alignment readingOrder="0"/>
    </xf>
    <xf borderId="7" fillId="17" fontId="5" numFmtId="176" xfId="0" applyAlignment="1" applyBorder="1" applyFont="1" applyNumberFormat="1">
      <alignment readingOrder="0"/>
    </xf>
    <xf borderId="29" fillId="8" fontId="5" numFmtId="166" xfId="0" applyAlignment="1" applyBorder="1" applyFont="1" applyNumberFormat="1">
      <alignment readingOrder="0"/>
    </xf>
    <xf borderId="53" fillId="8" fontId="5" numFmtId="0" xfId="0" applyAlignment="1" applyBorder="1" applyFont="1">
      <alignment readingOrder="0"/>
    </xf>
    <xf borderId="53" fillId="0" fontId="5" numFmtId="167" xfId="0" applyBorder="1" applyFont="1" applyNumberFormat="1"/>
    <xf borderId="53" fillId="0" fontId="5" numFmtId="167" xfId="0" applyAlignment="1" applyBorder="1" applyFont="1" applyNumberFormat="1">
      <alignment readingOrder="0"/>
    </xf>
    <xf borderId="30" fillId="0" fontId="5" numFmtId="167" xfId="0" applyBorder="1" applyFont="1" applyNumberFormat="1"/>
    <xf borderId="7" fillId="9" fontId="5" numFmtId="174" xfId="0" applyAlignment="1" applyBorder="1" applyFont="1" applyNumberFormat="1">
      <alignment readingOrder="0"/>
    </xf>
    <xf borderId="2" fillId="9" fontId="5" numFmtId="0" xfId="0" applyAlignment="1" applyBorder="1" applyFont="1">
      <alignment readingOrder="0"/>
    </xf>
    <xf borderId="2" fillId="9" fontId="5" numFmtId="0" xfId="0" applyAlignment="1" applyBorder="1" applyFont="1">
      <alignment readingOrder="0" shrinkToFit="0" wrapText="1"/>
    </xf>
    <xf borderId="2" fillId="7" fontId="5" numFmtId="20" xfId="0" applyAlignment="1" applyBorder="1" applyFont="1" applyNumberFormat="1">
      <alignment readingOrder="0"/>
    </xf>
    <xf borderId="2" fillId="0" fontId="27" numFmtId="0" xfId="0" applyAlignment="1" applyBorder="1" applyFont="1">
      <alignment readingOrder="0" vertical="bottom"/>
    </xf>
    <xf borderId="54" fillId="7" fontId="5" numFmtId="165" xfId="0" applyAlignment="1" applyBorder="1" applyFont="1" applyNumberFormat="1">
      <alignment horizontal="left" readingOrder="0"/>
    </xf>
    <xf borderId="2" fillId="0" fontId="27" numFmtId="4" xfId="0" applyAlignment="1" applyBorder="1" applyFont="1" applyNumberFormat="1">
      <alignment readingOrder="0" vertical="bottom"/>
    </xf>
    <xf borderId="55" fillId="7" fontId="5" numFmtId="165" xfId="0" applyAlignment="1" applyBorder="1" applyFont="1" applyNumberFormat="1">
      <alignment horizontal="left" readingOrder="0"/>
    </xf>
    <xf borderId="7" fillId="17" fontId="5" numFmtId="0" xfId="0" applyAlignment="1" applyBorder="1" applyFont="1">
      <alignment readingOrder="0"/>
    </xf>
    <xf borderId="18" fillId="7" fontId="5" numFmtId="0" xfId="0" applyAlignment="1" applyBorder="1" applyFont="1">
      <alignment readingOrder="0"/>
    </xf>
    <xf borderId="18" fillId="7" fontId="5" numFmtId="0" xfId="0" applyAlignment="1" applyBorder="1" applyFont="1">
      <alignment horizontal="left" readingOrder="0"/>
    </xf>
    <xf borderId="2" fillId="7" fontId="5" numFmtId="175" xfId="0" applyAlignment="1" applyBorder="1" applyFont="1" applyNumberFormat="1">
      <alignment readingOrder="0"/>
    </xf>
    <xf borderId="18" fillId="7" fontId="5" numFmtId="164" xfId="0" applyAlignment="1" applyBorder="1" applyFont="1" applyNumberFormat="1">
      <alignment horizontal="right" readingOrder="0"/>
    </xf>
    <xf borderId="18" fillId="7" fontId="5" numFmtId="168" xfId="0" applyAlignment="1" applyBorder="1" applyFont="1" applyNumberFormat="1">
      <alignment horizontal="left" readingOrder="0"/>
    </xf>
    <xf borderId="18" fillId="7" fontId="5" numFmtId="167" xfId="0" applyAlignment="1" applyBorder="1" applyFont="1" applyNumberFormat="1">
      <alignment readingOrder="0"/>
    </xf>
    <xf borderId="18" fillId="7" fontId="5" numFmtId="49" xfId="0" applyAlignment="1" applyBorder="1" applyFont="1" applyNumberFormat="1">
      <alignment readingOrder="0"/>
    </xf>
    <xf borderId="56" fillId="7" fontId="5" numFmtId="167" xfId="0" applyAlignment="1" applyBorder="1" applyFont="1" applyNumberFormat="1">
      <alignment readingOrder="0"/>
    </xf>
    <xf borderId="2" fillId="7" fontId="5" numFmtId="173" xfId="0" applyAlignment="1" applyBorder="1" applyFont="1" applyNumberFormat="1">
      <alignment readingOrder="0"/>
    </xf>
    <xf borderId="57" fillId="0" fontId="5" numFmtId="0" xfId="0" applyBorder="1" applyFont="1"/>
    <xf borderId="7" fillId="39" fontId="5" numFmtId="0" xfId="0" applyAlignment="1" applyBorder="1" applyFont="1">
      <alignment readingOrder="0"/>
    </xf>
    <xf borderId="57" fillId="0" fontId="5" numFmtId="0" xfId="0" applyAlignment="1" applyBorder="1" applyFont="1">
      <alignment horizontal="left" readingOrder="0"/>
    </xf>
    <xf borderId="57" fillId="0" fontId="5" numFmtId="164" xfId="0" applyAlignment="1" applyBorder="1" applyFont="1" applyNumberFormat="1">
      <alignment horizontal="right"/>
    </xf>
    <xf borderId="57" fillId="0" fontId="5" numFmtId="49" xfId="0" applyBorder="1" applyFont="1" applyNumberFormat="1"/>
    <xf borderId="0" fillId="0" fontId="5" numFmtId="0" xfId="0" applyAlignment="1" applyFont="1">
      <alignment horizontal="left"/>
    </xf>
    <xf borderId="0" fillId="0" fontId="5" numFmtId="49" xfId="0" applyFont="1" applyNumberFormat="1"/>
    <xf borderId="29" fillId="0" fontId="5" numFmtId="0" xfId="0" applyAlignment="1" applyBorder="1" applyFont="1">
      <alignment readingOrder="0"/>
    </xf>
    <xf borderId="53" fillId="0" fontId="5" numFmtId="0" xfId="0" applyAlignment="1" applyBorder="1" applyFont="1">
      <alignment readingOrder="0"/>
    </xf>
    <xf borderId="53" fillId="0" fontId="5" numFmtId="0" xfId="0" applyAlignment="1" applyBorder="1" applyFont="1">
      <alignment readingOrder="0" shrinkToFit="0" wrapText="1"/>
    </xf>
    <xf borderId="0" fillId="0" fontId="5" numFmtId="0" xfId="0" applyAlignment="1" applyFont="1">
      <alignment horizontal="center"/>
    </xf>
    <xf borderId="2" fillId="7" fontId="5" numFmtId="166" xfId="0" applyAlignment="1" applyBorder="1" applyFont="1" applyNumberFormat="1">
      <alignment readingOrder="0"/>
    </xf>
    <xf borderId="15" fillId="7" fontId="5" numFmtId="166" xfId="0" applyAlignment="1" applyBorder="1" applyFont="1" applyNumberFormat="1">
      <alignment readingOrder="0"/>
    </xf>
    <xf borderId="2" fillId="8" fontId="33" numFmtId="167" xfId="0" applyAlignment="1" applyBorder="1" applyFont="1" applyNumberFormat="1">
      <alignment readingOrder="0" shrinkToFit="0" vertical="bottom" wrapText="0"/>
    </xf>
    <xf borderId="53" fillId="8" fontId="5" numFmtId="166" xfId="0" applyAlignment="1" applyBorder="1" applyFont="1" applyNumberFormat="1">
      <alignment readingOrder="0"/>
    </xf>
    <xf borderId="53" fillId="8" fontId="5" numFmtId="164" xfId="0" applyAlignment="1" applyBorder="1" applyFont="1" applyNumberFormat="1">
      <alignment readingOrder="0"/>
    </xf>
    <xf borderId="53" fillId="8" fontId="5" numFmtId="49" xfId="0" applyAlignment="1" applyBorder="1" applyFont="1" applyNumberFormat="1">
      <alignment readingOrder="0"/>
    </xf>
    <xf borderId="30" fillId="8" fontId="5" numFmtId="166" xfId="0" applyAlignment="1" applyBorder="1" applyFont="1" applyNumberFormat="1">
      <alignment readingOrder="0"/>
    </xf>
    <xf borderId="2" fillId="8" fontId="27" numFmtId="167" xfId="0" applyAlignment="1" applyBorder="1" applyFont="1" applyNumberFormat="1">
      <alignment shrinkToFit="0" vertical="bottom" wrapText="0"/>
    </xf>
    <xf borderId="2" fillId="8" fontId="27" numFmtId="167" xfId="0" applyAlignment="1" applyBorder="1" applyFont="1" applyNumberFormat="1">
      <alignment readingOrder="0" vertical="bottom"/>
    </xf>
    <xf borderId="2" fillId="7" fontId="5" numFmtId="164" xfId="0" applyAlignment="1" applyBorder="1" applyFont="1" applyNumberFormat="1">
      <alignment readingOrder="0"/>
    </xf>
    <xf borderId="2" fillId="8" fontId="27" numFmtId="167" xfId="0" applyAlignment="1" applyBorder="1" applyFont="1" applyNumberFormat="1">
      <alignment readingOrder="0" shrinkToFit="0" vertical="bottom" wrapText="0"/>
    </xf>
    <xf borderId="2" fillId="8" fontId="34" numFmtId="167" xfId="0" applyAlignment="1" applyBorder="1" applyFont="1" applyNumberFormat="1">
      <alignment readingOrder="0" shrinkToFit="0" vertical="bottom" wrapText="0"/>
    </xf>
    <xf borderId="2" fillId="0" fontId="27" numFmtId="0" xfId="0" applyAlignment="1" applyBorder="1" applyFont="1">
      <alignment vertical="bottom"/>
    </xf>
    <xf borderId="2" fillId="8" fontId="27" numFmtId="0" xfId="0" applyAlignment="1" applyBorder="1" applyFont="1">
      <alignment vertical="bottom"/>
    </xf>
    <xf borderId="2" fillId="8" fontId="5" numFmtId="167" xfId="0" applyAlignment="1" applyBorder="1" applyFont="1" applyNumberFormat="1">
      <alignment readingOrder="0" shrinkToFit="0" wrapText="0"/>
    </xf>
    <xf borderId="2" fillId="8" fontId="35" numFmtId="167" xfId="0" applyAlignment="1" applyBorder="1" applyFont="1" applyNumberFormat="1">
      <alignment readingOrder="0" shrinkToFit="0" wrapText="0"/>
    </xf>
    <xf borderId="0" fillId="40" fontId="36" numFmtId="0" xfId="0" applyAlignment="1" applyFill="1" applyFont="1">
      <alignment horizontal="left" readingOrder="0" shrinkToFit="0" wrapText="0"/>
    </xf>
    <xf borderId="0" fillId="41" fontId="37" numFmtId="0" xfId="0" applyAlignment="1" applyFill="1" applyFont="1">
      <alignment horizontal="left" readingOrder="0"/>
    </xf>
    <xf borderId="58" fillId="42" fontId="38" numFmtId="0" xfId="0" applyAlignment="1" applyBorder="1" applyFill="1" applyFont="1">
      <alignment horizontal="center" readingOrder="0"/>
    </xf>
    <xf borderId="59" fillId="42" fontId="38" numFmtId="0" xfId="0" applyAlignment="1" applyBorder="1" applyFont="1">
      <alignment horizontal="center" readingOrder="0"/>
    </xf>
    <xf borderId="60" fillId="43" fontId="39" numFmtId="0" xfId="0" applyAlignment="1" applyBorder="1" applyFill="1" applyFont="1">
      <alignment horizontal="left" readingOrder="0" vertical="top"/>
    </xf>
    <xf borderId="60" fillId="0" fontId="40" numFmtId="0" xfId="0" applyAlignment="1" applyBorder="1" applyFont="1">
      <alignment horizontal="center" readingOrder="0" vertical="top"/>
    </xf>
    <xf borderId="60" fillId="0" fontId="41" numFmtId="0" xfId="0" applyAlignment="1" applyBorder="1" applyFont="1">
      <alignment horizontal="left" readingOrder="0" vertical="top"/>
    </xf>
    <xf quotePrefix="1" borderId="60" fillId="0" fontId="41" numFmtId="0" xfId="0" applyAlignment="1" applyBorder="1" applyFont="1">
      <alignment horizontal="left" readingOrder="0" vertical="top"/>
    </xf>
    <xf borderId="60" fillId="0" fontId="42" numFmtId="0" xfId="0" applyAlignment="1" applyBorder="1" applyFont="1">
      <alignment horizontal="left" readingOrder="0" vertical="top"/>
    </xf>
    <xf quotePrefix="1" borderId="60" fillId="0" fontId="41" numFmtId="49" xfId="0" applyAlignment="1" applyBorder="1" applyFont="1" applyNumberFormat="1">
      <alignment horizontal="left" readingOrder="0" vertical="top"/>
    </xf>
    <xf borderId="60" fillId="44" fontId="43" numFmtId="0" xfId="0" applyAlignment="1" applyBorder="1" applyFill="1" applyFont="1">
      <alignment horizontal="left" readingOrder="0" vertical="top"/>
    </xf>
    <xf borderId="60" fillId="44" fontId="44" numFmtId="0" xfId="0" applyAlignment="1" applyBorder="1" applyFont="1">
      <alignment horizontal="left" readingOrder="0" vertical="top"/>
    </xf>
    <xf borderId="0" fillId="45" fontId="45" numFmtId="0" xfId="0" applyAlignment="1" applyFill="1" applyFont="1">
      <alignment horizontal="left" readingOrder="0" shrinkToFit="0" wrapText="0"/>
    </xf>
    <xf borderId="0" fillId="0" fontId="46" numFmtId="0" xfId="0" applyAlignment="1" applyFont="1">
      <alignment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49" numFmtId="0" xfId="0" applyFont="1"/>
    <xf borderId="0" fillId="0" fontId="47" numFmtId="0" xfId="0" applyFont="1"/>
    <xf borderId="2" fillId="0" fontId="50" numFmtId="0" xfId="0" applyAlignment="1" applyBorder="1" applyFont="1">
      <alignment readingOrder="0"/>
    </xf>
    <xf borderId="0" fillId="0" fontId="51" numFmtId="0" xfId="0" applyAlignment="1" applyFont="1">
      <alignment readingOrder="0"/>
    </xf>
    <xf borderId="0" fillId="0" fontId="5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3" numFmtId="0" xfId="0" applyFont="1"/>
    <xf borderId="2" fillId="0" fontId="54" numFmtId="167" xfId="0" applyAlignment="1" applyBorder="1" applyFont="1" applyNumberFormat="1">
      <alignment readingOrder="0" shrinkToFit="0" wrapText="0"/>
    </xf>
    <xf borderId="2" fillId="0" fontId="55" numFmtId="0" xfId="0" applyAlignment="1" applyBorder="1" applyFont="1">
      <alignment readingOrder="0"/>
    </xf>
    <xf borderId="2" fillId="3" fontId="1" numFmtId="0" xfId="0" applyAlignment="1" applyBorder="1" applyFont="1">
      <alignment horizontal="left" readingOrder="0" shrinkToFit="0" vertical="top" wrapText="0"/>
    </xf>
    <xf borderId="0" fillId="3" fontId="1" numFmtId="0" xfId="0" applyAlignment="1" applyFont="1">
      <alignment horizontal="left" readingOrder="0" shrinkToFit="0" vertical="top" wrapText="0"/>
    </xf>
    <xf borderId="0" fillId="3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top"/>
    </xf>
    <xf borderId="2" fillId="28" fontId="56" numFmtId="167" xfId="0" applyAlignment="1" applyBorder="1" applyFont="1" applyNumberFormat="1">
      <alignment readingOrder="0" shrinkToFit="0" wrapText="0"/>
    </xf>
    <xf borderId="2" fillId="2" fontId="1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left" vertical="top"/>
    </xf>
    <xf borderId="2" fillId="28" fontId="57" numFmtId="167" xfId="0" applyAlignment="1" applyBorder="1" applyFont="1" applyNumberFormat="1">
      <alignment readingOrder="0" shrinkToFit="0" wrapText="0"/>
    </xf>
    <xf borderId="2" fillId="3" fontId="27" numFmtId="0" xfId="0" applyAlignment="1" applyBorder="1" applyFont="1">
      <alignment readingOrder="0" vertical="bottom"/>
    </xf>
    <xf borderId="2" fillId="0" fontId="5" numFmtId="166" xfId="0" applyAlignment="1" applyBorder="1" applyFont="1" applyNumberFormat="1">
      <alignment readingOrder="0" shrinkToFit="0" vertical="top" wrapText="0"/>
    </xf>
    <xf borderId="2" fillId="0" fontId="5" numFmtId="0" xfId="0" applyAlignment="1" applyBorder="1" applyFont="1">
      <alignment horizontal="left" readingOrder="0" shrinkToFit="0" vertical="top" wrapText="0"/>
    </xf>
    <xf borderId="2" fillId="3" fontId="1" numFmtId="0" xfId="0" applyAlignment="1" applyBorder="1" applyFont="1">
      <alignment horizontal="left" readingOrder="0" vertical="top"/>
    </xf>
    <xf borderId="2" fillId="3" fontId="27" numFmtId="0" xfId="0" applyAlignment="1" applyBorder="1" applyFont="1">
      <alignment vertical="bottom"/>
    </xf>
    <xf borderId="0" fillId="3" fontId="1" numFmtId="0" xfId="0" applyAlignment="1" applyFont="1">
      <alignment horizontal="left" readingOrder="0" vertical="top"/>
    </xf>
    <xf borderId="2" fillId="10" fontId="5" numFmtId="0" xfId="0" applyAlignment="1" applyBorder="1" applyFont="1">
      <alignment horizontal="left" readingOrder="0" shrinkToFit="0" vertical="top" wrapText="0"/>
    </xf>
    <xf borderId="0" fillId="14" fontId="5" numFmtId="0" xfId="0" applyAlignment="1" applyFont="1">
      <alignment readingOrder="0"/>
    </xf>
    <xf borderId="2" fillId="10" fontId="5" numFmtId="4" xfId="0" applyAlignment="1" applyBorder="1" applyFont="1" applyNumberFormat="1">
      <alignment readingOrder="0" shrinkToFit="0" vertical="top" wrapText="0"/>
    </xf>
    <xf borderId="0" fillId="0" fontId="5" numFmtId="20" xfId="0" applyAlignment="1" applyFont="1" applyNumberFormat="1">
      <alignment readingOrder="0"/>
    </xf>
    <xf borderId="2" fillId="0" fontId="5" numFmtId="0" xfId="0" applyAlignment="1" applyBorder="1" applyFont="1">
      <alignment horizontal="left" shrinkToFit="0" vertical="top" wrapText="0"/>
    </xf>
    <xf borderId="2" fillId="0" fontId="5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readingOrder="0" shrinkToFit="0" wrapText="1"/>
    </xf>
    <xf borderId="0" fillId="0" fontId="58" numFmtId="0" xfId="0" applyAlignment="1" applyFont="1">
      <alignment horizontal="left" readingOrder="0"/>
    </xf>
    <xf borderId="0" fillId="22" fontId="5" numFmtId="0" xfId="0" applyAlignment="1" applyFont="1">
      <alignment readingOrder="0"/>
    </xf>
    <xf borderId="2" fillId="8" fontId="27" numFmtId="0" xfId="0" applyAlignment="1" applyBorder="1" applyFont="1">
      <alignment readingOrder="0" vertical="bottom"/>
    </xf>
    <xf borderId="2" fillId="8" fontId="5" numFmtId="4" xfId="0" applyAlignment="1" applyBorder="1" applyFont="1" applyNumberFormat="1">
      <alignment horizontal="right" readingOrder="0"/>
    </xf>
    <xf borderId="2" fillId="0" fontId="59" numFmtId="0" xfId="0" applyAlignment="1" applyBorder="1" applyFont="1">
      <alignment horizontal="left" readingOrder="0" shrinkToFit="0" vertical="top" wrapText="0"/>
    </xf>
    <xf borderId="2" fillId="0" fontId="5" numFmtId="0" xfId="0" applyAlignment="1" applyBorder="1" applyFont="1">
      <alignment horizontal="left" readingOrder="0" shrinkToFit="0" vertical="top" wrapText="1"/>
    </xf>
    <xf borderId="2" fillId="2" fontId="1" numFmtId="0" xfId="0" applyAlignment="1" applyBorder="1" applyFont="1">
      <alignment readingOrder="0"/>
    </xf>
    <xf borderId="2" fillId="0" fontId="8" numFmtId="4" xfId="0" applyAlignment="1" applyBorder="1" applyFont="1" applyNumberFormat="1">
      <alignment horizontal="right" shrinkToFit="0" vertical="bottom" wrapText="1"/>
    </xf>
    <xf borderId="2" fillId="8" fontId="5" numFmtId="0" xfId="0" applyAlignment="1" applyBorder="1" applyFont="1">
      <alignment readingOrder="0" shrinkToFit="0" vertical="top" wrapText="1"/>
    </xf>
    <xf borderId="2" fillId="0" fontId="60" numFmtId="0" xfId="0" applyAlignment="1" applyBorder="1" applyFont="1">
      <alignment horizontal="left" readingOrder="0" shrinkToFit="0" vertical="top" wrapText="0"/>
    </xf>
    <xf borderId="2" fillId="0" fontId="61" numFmtId="0" xfId="0" applyAlignment="1" applyBorder="1" applyFont="1">
      <alignment horizontal="left" readingOrder="0" shrinkToFit="0" vertical="top" wrapText="0"/>
    </xf>
    <xf borderId="2" fillId="0" fontId="8" numFmtId="4" xfId="0" applyAlignment="1" applyBorder="1" applyFont="1" applyNumberFormat="1">
      <alignment vertical="bottom"/>
    </xf>
    <xf borderId="0" fillId="46" fontId="5" numFmtId="0" xfId="0" applyAlignment="1" applyFill="1" applyFont="1">
      <alignment readingOrder="0" shrinkToFit="0" wrapText="0"/>
    </xf>
    <xf borderId="0" fillId="2" fontId="1" numFmtId="0" xfId="0" applyAlignment="1" applyFont="1">
      <alignment readingOrder="0"/>
    </xf>
    <xf borderId="2" fillId="28" fontId="5" numFmtId="0" xfId="0" applyAlignment="1" applyBorder="1" applyFont="1">
      <alignment horizontal="right" readingOrder="0"/>
    </xf>
    <xf borderId="2" fillId="8" fontId="5" numFmtId="0" xfId="0" applyAlignment="1" applyBorder="1" applyFont="1">
      <alignment readingOrder="0" vertical="top"/>
    </xf>
    <xf borderId="2" fillId="0" fontId="62" numFmtId="0" xfId="0" applyAlignment="1" applyBorder="1" applyFont="1">
      <alignment readingOrder="0" shrinkToFit="0" wrapText="0"/>
    </xf>
    <xf borderId="2" fillId="8" fontId="5" numFmtId="0" xfId="0" applyAlignment="1" applyBorder="1" applyFont="1">
      <alignment horizontal="left" readingOrder="0" shrinkToFit="0" vertical="top" wrapText="0"/>
    </xf>
    <xf borderId="2" fillId="8" fontId="5" numFmtId="0" xfId="0" applyAlignment="1" applyBorder="1" applyFont="1">
      <alignment horizontal="left" readingOrder="0" shrinkToFit="0" vertical="top" wrapText="1"/>
    </xf>
    <xf borderId="2" fillId="0" fontId="63" numFmtId="0" xfId="0" applyAlignment="1" applyBorder="1" applyFont="1">
      <alignment readingOrder="0"/>
    </xf>
    <xf borderId="2" fillId="0" fontId="8" numFmtId="4" xfId="0" applyAlignment="1" applyBorder="1" applyFont="1" applyNumberFormat="1">
      <alignment readingOrder="0" shrinkToFit="0" vertical="bottom" wrapText="1"/>
    </xf>
    <xf borderId="2" fillId="47" fontId="5" numFmtId="0" xfId="0" applyAlignment="1" applyBorder="1" applyFill="1" applyFont="1">
      <alignment horizontal="left" readingOrder="0" shrinkToFit="0" vertical="top" wrapText="0"/>
    </xf>
    <xf borderId="2" fillId="10" fontId="5" numFmtId="0" xfId="0" applyAlignment="1" applyBorder="1" applyFont="1">
      <alignment horizontal="left" shrinkToFit="0" vertical="top" wrapText="0"/>
    </xf>
    <xf borderId="2" fillId="10" fontId="5" numFmtId="4" xfId="0" applyAlignment="1" applyBorder="1" applyFont="1" applyNumberFormat="1">
      <alignment shrinkToFit="0" vertical="top" wrapText="0"/>
    </xf>
    <xf borderId="2" fillId="8" fontId="5" numFmtId="4" xfId="0" applyAlignment="1" applyBorder="1" applyFont="1" applyNumberFormat="1">
      <alignment horizontal="right"/>
    </xf>
    <xf borderId="0" fillId="8" fontId="5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wrapText="0"/>
    </xf>
    <xf borderId="0" fillId="0" fontId="1" numFmtId="0" xfId="0" applyAlignment="1" applyFont="1">
      <alignment horizontal="center" readingOrder="0"/>
    </xf>
    <xf borderId="2" fillId="0" fontId="8" numFmtId="167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horizontal="right" readingOrder="0"/>
    </xf>
    <xf borderId="2" fillId="19" fontId="5" numFmtId="167" xfId="0" applyAlignment="1" applyBorder="1" applyFont="1" applyNumberFormat="1">
      <alignment readingOrder="0" shrinkToFit="0" wrapText="0"/>
    </xf>
    <xf borderId="2" fillId="30" fontId="64" numFmtId="0" xfId="0" applyAlignment="1" applyBorder="1" applyFont="1">
      <alignment readingOrder="0"/>
    </xf>
    <xf borderId="0" fillId="0" fontId="5" numFmtId="0" xfId="0" applyAlignment="1" applyFont="1">
      <alignment horizontal="right"/>
    </xf>
    <xf borderId="0" fillId="0" fontId="5" numFmtId="4" xfId="0" applyFont="1" applyNumberFormat="1"/>
    <xf borderId="0" fillId="0" fontId="5" numFmtId="166" xfId="0" applyAlignment="1" applyFont="1" applyNumberFormat="1">
      <alignment readingOrder="0"/>
    </xf>
    <xf borderId="0" fillId="0" fontId="5" numFmtId="177" xfId="0" applyAlignment="1" applyFont="1" applyNumberFormat="1">
      <alignment readingOrder="0"/>
    </xf>
    <xf borderId="2" fillId="0" fontId="5" numFmtId="0" xfId="0" applyAlignment="1" applyBorder="1" applyFont="1">
      <alignment horizontal="left" readingOrder="0" shrinkToFit="0" vertical="top" wrapText="0"/>
    </xf>
    <xf borderId="2" fillId="8" fontId="5" numFmtId="0" xfId="0" applyAlignment="1" applyBorder="1" applyFont="1">
      <alignment horizontal="left" shrinkToFit="0" vertical="top" wrapText="0"/>
    </xf>
    <xf borderId="2" fillId="3" fontId="11" numFmtId="0" xfId="0" applyAlignment="1" applyBorder="1" applyFont="1">
      <alignment readingOrder="0" shrinkToFit="0" vertical="bottom" wrapText="0"/>
    </xf>
    <xf borderId="2" fillId="3" fontId="1" numFmtId="0" xfId="0" applyAlignment="1" applyBorder="1" applyFont="1">
      <alignment readingOrder="0"/>
    </xf>
    <xf borderId="2" fillId="22" fontId="5" numFmtId="0" xfId="0" applyAlignment="1" applyBorder="1" applyFont="1">
      <alignment horizontal="right" readingOrder="0"/>
    </xf>
    <xf borderId="2" fillId="0" fontId="65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horizontal="left" readingOrder="0" shrinkToFit="0" vertical="top" wrapText="0"/>
    </xf>
    <xf borderId="0" fillId="0" fontId="5" numFmtId="0" xfId="0" applyAlignment="1" applyFont="1">
      <alignment horizontal="left" readingOrder="0" vertical="top"/>
    </xf>
    <xf borderId="0" fillId="8" fontId="5" numFmtId="0" xfId="0" applyAlignment="1" applyFont="1">
      <alignment horizontal="left" readingOrder="0" vertical="top"/>
    </xf>
    <xf borderId="2" fillId="0" fontId="66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/>
    </xf>
    <xf borderId="0" fillId="8" fontId="5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2" fillId="0" fontId="5" numFmtId="0" xfId="0" applyAlignment="1" applyBorder="1" applyFont="1">
      <alignment readingOrder="0" shrinkToFit="0" wrapText="1"/>
    </xf>
    <xf borderId="2" fillId="46" fontId="1" numFmtId="0" xfId="0" applyAlignment="1" applyBorder="1" applyFont="1">
      <alignment readingOrder="0" shrinkToFit="0" wrapText="0"/>
    </xf>
    <xf borderId="0" fillId="0" fontId="27" numFmtId="0" xfId="0" applyAlignment="1" applyFont="1">
      <alignment readingOrder="0" vertical="bottom"/>
    </xf>
    <xf borderId="2" fillId="0" fontId="11" numFmtId="0" xfId="0" applyAlignment="1" applyBorder="1" applyFont="1">
      <alignment readingOrder="0" vertical="bottom"/>
    </xf>
    <xf borderId="2" fillId="8" fontId="1" numFmtId="0" xfId="0" applyAlignment="1" applyBorder="1" applyFont="1">
      <alignment readingOrder="0"/>
    </xf>
    <xf borderId="2" fillId="0" fontId="11" numFmtId="0" xfId="0" applyAlignment="1" applyBorder="1" applyFont="1">
      <alignment vertical="bottom"/>
    </xf>
    <xf borderId="2" fillId="0" fontId="67" numFmtId="0" xfId="0" applyAlignment="1" applyBorder="1" applyFont="1">
      <alignment vertical="bottom"/>
    </xf>
    <xf borderId="2" fillId="0" fontId="27" numFmtId="0" xfId="0" applyAlignment="1" applyBorder="1" applyFont="1">
      <alignment readingOrder="0" vertical="bottom"/>
    </xf>
    <xf borderId="2" fillId="0" fontId="68" numFmtId="0" xfId="0" applyAlignment="1" applyBorder="1" applyFont="1">
      <alignment readingOrder="0" vertical="bottom"/>
    </xf>
    <xf borderId="2" fillId="47" fontId="11" numFmtId="0" xfId="0" applyAlignment="1" applyBorder="1" applyFont="1">
      <alignment readingOrder="0" vertical="bottom"/>
    </xf>
    <xf borderId="2" fillId="46" fontId="5" numFmtId="0" xfId="0" applyAlignment="1" applyBorder="1" applyFont="1">
      <alignment readingOrder="0" shrinkToFit="0" wrapText="0"/>
    </xf>
    <xf borderId="2" fillId="3" fontId="11" numFmtId="0" xfId="0" applyAlignment="1" applyBorder="1" applyFont="1">
      <alignment readingOrder="0" vertical="bottom"/>
    </xf>
    <xf borderId="0" fillId="0" fontId="15" numFmtId="0" xfId="0" applyAlignment="1" applyFont="1">
      <alignment readingOrder="0"/>
    </xf>
    <xf borderId="0" fillId="0" fontId="15" numFmtId="0" xfId="0" applyFont="1"/>
    <xf borderId="2" fillId="8" fontId="11" numFmtId="0" xfId="0" applyAlignment="1" applyBorder="1" applyFont="1">
      <alignment readingOrder="0" vertical="bottom"/>
    </xf>
    <xf borderId="0" fillId="0" fontId="69" numFmtId="0" xfId="0" applyAlignment="1" applyFont="1">
      <alignment readingOrder="0"/>
    </xf>
    <xf borderId="0" fillId="0" fontId="1" numFmtId="0" xfId="0" applyAlignment="1" applyFont="1">
      <alignment horizontal="center" readingOrder="0" vertical="top"/>
    </xf>
    <xf borderId="0" fillId="0" fontId="0" numFmtId="0" xfId="0" applyAlignment="1" applyFont="1">
      <alignment vertical="top"/>
    </xf>
    <xf borderId="0" fillId="0" fontId="5" numFmtId="0" xfId="0" applyAlignment="1" applyFont="1">
      <alignment horizontal="center" readingOrder="0"/>
    </xf>
    <xf borderId="2" fillId="0" fontId="70" numFmtId="0" xfId="0" applyAlignment="1" applyBorder="1" applyFont="1">
      <alignment readingOrder="0" shrinkToFit="0" vertical="bottom" wrapText="1"/>
    </xf>
    <xf borderId="2" fillId="0" fontId="8" numFmtId="0" xfId="0" applyAlignment="1" applyBorder="1" applyFont="1">
      <alignment vertical="bottom"/>
    </xf>
    <xf borderId="0" fillId="7" fontId="5" numFmtId="0" xfId="0" applyAlignment="1" applyFont="1">
      <alignment readingOrder="0"/>
    </xf>
    <xf borderId="0" fillId="0" fontId="5" numFmtId="173" xfId="0" applyAlignment="1" applyFont="1" applyNumberFormat="1">
      <alignment readingOrder="0"/>
    </xf>
    <xf borderId="2" fillId="0" fontId="8" numFmtId="0" xfId="0" applyAlignment="1" applyBorder="1" applyFont="1">
      <alignment vertical="bottom"/>
    </xf>
    <xf borderId="2" fillId="0" fontId="5" numFmtId="0" xfId="0" applyAlignment="1" applyBorder="1" applyFont="1">
      <alignment readingOrder="0"/>
    </xf>
    <xf borderId="2" fillId="0" fontId="5" numFmtId="0" xfId="0" applyAlignment="1" applyBorder="1" applyFont="1">
      <alignment shrinkToFit="0" wrapText="0"/>
    </xf>
    <xf borderId="0" fillId="0" fontId="70" numFmtId="0" xfId="0" applyAlignment="1" applyFont="1">
      <alignment readingOrder="0" shrinkToFit="0" vertical="bottom" wrapText="0"/>
    </xf>
  </cellXfs>
  <cellStyles count="1">
    <cellStyle xfId="0" name="Normal" builtinId="0"/>
  </cellStyles>
  <dxfs count="1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1">
    <tableStyle count="4" pivot="0" name="Dagplanning - USA-style">
      <tableStyleElement dxfId="7" type="headerRow"/>
      <tableStyleElement dxfId="8" type="firstRowStripe"/>
      <tableStyleElement dxfId="9" type="secondRowStripe"/>
      <tableStyleElement dxfId="10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1</xdr:row>
      <xdr:rowOff>0</xdr:rowOff>
    </xdr:from>
    <xdr:ext cx="438150" cy="19050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438150" cy="190500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4381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4381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43815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125</xdr:row>
      <xdr:rowOff>0</xdr:rowOff>
    </xdr:from>
    <xdr:ext cx="4381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129</xdr:row>
      <xdr:rowOff>0</xdr:rowOff>
    </xdr:from>
    <xdr:ext cx="4381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146</xdr:row>
      <xdr:rowOff>0</xdr:rowOff>
    </xdr:from>
    <xdr:ext cx="4381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148</xdr:row>
      <xdr:rowOff>0</xdr:rowOff>
    </xdr:from>
    <xdr:ext cx="438150" cy="1905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157</xdr:row>
      <xdr:rowOff>0</xdr:rowOff>
    </xdr:from>
    <xdr:ext cx="4381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158</xdr:row>
      <xdr:rowOff>0</xdr:rowOff>
    </xdr:from>
    <xdr:ext cx="438150" cy="1905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0" displayName="Tabel1" name="Tabel1" id="1">
  <tableColumns count="9">
    <tableColumn name="Datum" id="1"/>
    <tableColumn name="Dag" id="2"/>
    <tableColumn name="Route" id="3"/>
    <tableColumn name="Beschrijving" id="4"/>
    <tableColumn name="Afstand" id="5"/>
    <tableColumn name="Reistijd" id="6"/>
    <tableColumn name="informatie" id="7"/>
    <tableColumn name="Google maps" id="8"/>
    <tableColumn name="Kolom 1" id="9"/>
  </tableColumns>
  <tableStyleInfo name="Dagplanning - U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scoveryholidayparks.com.au/caravan-parks/new-south-wales/south-coast/eden/superior-2-bedroom-cabin-sleeps-6?accommodationCode=NEDN-94-1574-RT&amp;propertyCode=NEDN&amp;arrive=2026-11-27&amp;depart=2026-11-28&amp;adults=2&amp;kids=2&amp;infants=0&amp;index=5" TargetMode="External"/><Relationship Id="rId42" Type="http://schemas.openxmlformats.org/officeDocument/2006/relationships/hyperlink" Target="https://www.parks.vic.gov.au/places-to-see/parks/wilsons-promontory-national-park/where-to-stay/tidal-river-accommodation/tidal-river-huts" TargetMode="External"/><Relationship Id="rId41" Type="http://schemas.openxmlformats.org/officeDocument/2006/relationships/hyperlink" Target="https://www.booking.com/hotel/au/traralgon-park-lane-holiday-park.nl.html?label=gen173nr-10CAEoggI46AdIM1gEaKkBiAEBmAEzuAEHyAEM2AED6AEB-AEBiAIBqAIBuAKAsaPLBsACAdICJGExZTJmMzM5LTFmNWMtNDVkNy05YmVhLWU5NzZkZWFmMTdjY9gCAeACAQ&amp;aid=304142&amp;ucfs=1&amp;checkin=2026-11-28&amp;checkout=2026-11-29&amp;dest_id=-1587163&amp;dest_type=city&amp;group_adults=2&amp;no_rooms=1&amp;group_children=2&amp;age=7&amp;req_age=7&amp;age=9&amp;req_age=9&amp;srpvid=2b22592dcb840154&amp;srepoch=1769949687&amp;matching_block_id=113618714_370496383_4_0_0&amp;atlas_src=sr_iw_title" TargetMode="External"/><Relationship Id="rId44" Type="http://schemas.openxmlformats.org/officeDocument/2006/relationships/hyperlink" Target="https://hampshireholidays.com.au/parks/vic/warburton-holiday-park" TargetMode="External"/><Relationship Id="rId43" Type="http://schemas.openxmlformats.org/officeDocument/2006/relationships/hyperlink" Target="https://www.parks.vic.gov.au/places-to-see/parks/wilsons-promontory-national-park/where-to-stay/tidal-river-accommodation/tidal-river-huts" TargetMode="External"/><Relationship Id="rId46" Type="http://schemas.openxmlformats.org/officeDocument/2006/relationships/hyperlink" Target="https://hampshireholidays.com.au/parks/vic/warburton-holiday-park" TargetMode="External"/><Relationship Id="rId45" Type="http://schemas.openxmlformats.org/officeDocument/2006/relationships/hyperlink" Target="https://hampshireholidays.com.au/parks/vic/warburton-holiday-park" TargetMode="External"/><Relationship Id="rId107" Type="http://schemas.openxmlformats.org/officeDocument/2006/relationships/hyperlink" Target="https://www.booking.com/hotel/th/poonsiri-resort.nl.html?label=gen173nr-10CAso3QFCD3Bvb25zaXJpLXJlc29ydEgzWARoqQGIAQGYATO4ARfIAQzYAQPoAQH4AQGIAgGoAgG4AvbJotAGwAIB0gIkNjAzNDc4N2MtODVkZS00NjZiLWJiZGEtNDgwODk5ODI5ZDky2AIB4AIB&amp;sid=448afc7b286e4e2e61954b9d409d4932&amp;age=10&amp;age=8&amp;dist=0&amp;group_adults=2&amp;group_children=2&amp;keep_landing=1&amp;no_rooms=1&amp;sb_price_type=total&amp;type=total&amp;" TargetMode="External"/><Relationship Id="rId106" Type="http://schemas.openxmlformats.org/officeDocument/2006/relationships/hyperlink" Target="https://www.sainaamlanta.com/" TargetMode="External"/><Relationship Id="rId105" Type="http://schemas.openxmlformats.org/officeDocument/2006/relationships/hyperlink" Target="https://www.sainaamlanta.com/" TargetMode="External"/><Relationship Id="rId104" Type="http://schemas.openxmlformats.org/officeDocument/2006/relationships/hyperlink" Target="https://www.sainaamlanta.com/" TargetMode="External"/><Relationship Id="rId109" Type="http://schemas.openxmlformats.org/officeDocument/2006/relationships/hyperlink" Target="https://www.booking.com/hotel/th/baan-karon-resort.nl.html?label=metagha-link-MRNL-hotel-42679_dev-desktop_los-1_bw-25_dow-Sunday_defdate-1_room-0_gstadt-2_rateid-public_aud-0_gacid-21415134391_mcid-50_bc-AACmtw_ppa-0_clrid-0_ad-1_gstkid-0_checkin-20260503_ppt-CgB_lp-2528_r-13825456660457007468&amp;sid=58385233827b3dc4126ecb2cfd20fd81&amp;aid=1288240&amp;ucfs=1&amp;checkin=2027-02-08&amp;checkout=2027-02-11&amp;dest_id=-3253342&amp;dest_type=city&amp;group_adults=2&amp;no_rooms=1&amp;group_children=2&amp;age=10&amp;req_age=10&amp;age=8&amp;req_age=8&amp;nflt=price%3DEUR-min-160-1%3Bmealplan%3D1%3Bhotelfacility%3D433&amp;srpvid=d7cd86a363ad00fd&amp;srepoch=1778872219&amp;matching_block_id=26903371_414125192_0_1_0&amp;atlas_src=sr_iw_title" TargetMode="External"/><Relationship Id="rId108" Type="http://schemas.openxmlformats.org/officeDocument/2006/relationships/hyperlink" Target="https://www.booking.com/hotel/th/poonsiri-resort.nl.html?label=gen173nr-10CAso3QFCD3Bvb25zaXJpLXJlc29ydEgzWARoqQGIAQGYATO4ARfIAQzYAQPoAQH4AQGIAgGoAgG4AvbJotAGwAIB0gIkNjAzNDc4N2MtODVkZS00NjZiLWJiZGEtNDgwODk5ODI5ZDky2AIB4AIB&amp;sid=448afc7b286e4e2e61954b9d409d4932&amp;age=10&amp;age=8&amp;dist=0&amp;group_adults=2&amp;group_children=2&amp;keep_landing=1&amp;no_rooms=1&amp;sb_price_type=total&amp;type=total&amp;" TargetMode="External"/><Relationship Id="rId48" Type="http://schemas.openxmlformats.org/officeDocument/2006/relationships/hyperlink" Target="https://bimbipark.com.au/" TargetMode="External"/><Relationship Id="rId47" Type="http://schemas.openxmlformats.org/officeDocument/2006/relationships/hyperlink" Target="https://bimbipark.com.au/" TargetMode="External"/><Relationship Id="rId49" Type="http://schemas.openxmlformats.org/officeDocument/2006/relationships/hyperlink" Target="https://www.airbnb.nl/rooms/1576585362074394024?photo_id=2441452811&amp;source_impression_id=p3_1773059472_P3xjRZH-UHXNI_VK&amp;previous_page_section_name=1000" TargetMode="External"/><Relationship Id="rId103" Type="http://schemas.openxmlformats.org/officeDocument/2006/relationships/hyperlink" Target="https://www.sainaamlanta.com/" TargetMode="External"/><Relationship Id="rId102" Type="http://schemas.openxmlformats.org/officeDocument/2006/relationships/hyperlink" Target="https://www.sainaamlanta.com/" TargetMode="External"/><Relationship Id="rId101" Type="http://schemas.openxmlformats.org/officeDocument/2006/relationships/hyperlink" Target="https://www.magicalmountainviewresort.com/" TargetMode="External"/><Relationship Id="rId100" Type="http://schemas.openxmlformats.org/officeDocument/2006/relationships/hyperlink" Target="https://www.magicalmountainviewresort.com/" TargetMode="External"/><Relationship Id="rId31" Type="http://schemas.openxmlformats.org/officeDocument/2006/relationships/hyperlink" Target="https://www.airbnb.nl/trips/v1/reservation-details/ro/RESERVATION2_CHECKIN/HMPQJZ93WF" TargetMode="External"/><Relationship Id="rId30" Type="http://schemas.openxmlformats.org/officeDocument/2006/relationships/hyperlink" Target="https://www.booking.com/hotel/au/cairns-colonial-club-resort.nl.html?label=lgnl_crEUR_sf_fn_piPRkLMeRuNjOx_oiOF06AY3UAJRx_sctpa_pl_ta_neg_fi_tikwd-2471616913092_lp1010754_li_dec_dm_ag196401585027_ci23568827516&amp;sid=58385233827b3dc4126ecb2cfd20fd81&amp;aid=2421090&amp;ucfs=1&amp;checkin=2026-11-17&amp;checkout=2026-11-18&amp;dest_id=-1612224&amp;dest_type=city&amp;group_adults=2&amp;no_rooms=1&amp;group_children=2&amp;age=7&amp;req_age=7&amp;age=9&amp;req_age=9&amp;nflt=price%3DEUR-min-130-1&amp;srpvid=202f59219a0a0a2a&amp;srepoch=1771764690&amp;matching_block_id=17948805_222659274_2_2_0_1152507&amp;atlas_src=sr_iw_title" TargetMode="External"/><Relationship Id="rId33" Type="http://schemas.openxmlformats.org/officeDocument/2006/relationships/hyperlink" Target="https://www.airbnb.nl/trips/v1/reservation-details/ro/RESERVATION2_CHECKIN/HMPQJZ93WF" TargetMode="External"/><Relationship Id="rId32" Type="http://schemas.openxmlformats.org/officeDocument/2006/relationships/hyperlink" Target="https://www.airbnb.nl/trips/v1/reservation-details/ro/RESERVATION2_CHECKIN/HMPQJZ93WF" TargetMode="External"/><Relationship Id="rId35" Type="http://schemas.openxmlformats.org/officeDocument/2006/relationships/hyperlink" Target="https://holidayhaven.com.au/bendalong/" TargetMode="External"/><Relationship Id="rId34" Type="http://schemas.openxmlformats.org/officeDocument/2006/relationships/hyperlink" Target="https://www.airbnb.nl/trips/v1/reservation-details/ro/RESERVATION2_CHECKIN/HMPQJZ93WF" TargetMode="External"/><Relationship Id="rId37" Type="http://schemas.openxmlformats.org/officeDocument/2006/relationships/hyperlink" Target="https://holidayhaven.com.au/bendalong/" TargetMode="External"/><Relationship Id="rId36" Type="http://schemas.openxmlformats.org/officeDocument/2006/relationships/hyperlink" Target="https://holidayhaven.com.au/bendalong/" TargetMode="External"/><Relationship Id="rId39" Type="http://schemas.openxmlformats.org/officeDocument/2006/relationships/hyperlink" Target="https://www.discoveryholidayparks.com.au/caravan-parks/new-south-wales/south-coast/narooma-beach?accommodationCode=NNRM-118-2384-RT&amp;propertyCode=NNRM&amp;arrive=2026-11-25&amp;depart=2026-11-27&amp;adults=2&amp;kids=2&amp;infants=0&amp;index=9&amp;sort=price-desc&amp;maxSearchResults=30" TargetMode="External"/><Relationship Id="rId38" Type="http://schemas.openxmlformats.org/officeDocument/2006/relationships/hyperlink" Target="https://www.discoveryholidayparks.com.au/caravan-parks/new-south-wales/south-coast/narooma-beach?accommodationCode=NNRM-118-2384-RT&amp;propertyCode=NNRM&amp;arrive=2026-11-25&amp;depart=2026-11-27&amp;adults=2&amp;kids=2&amp;infants=0&amp;index=9&amp;sort=price-desc&amp;maxSearchResults=30" TargetMode="External"/><Relationship Id="rId20" Type="http://schemas.openxmlformats.org/officeDocument/2006/relationships/hyperlink" Target="https://www.blackwattlefarm.com.au/rooms" TargetMode="External"/><Relationship Id="rId22" Type="http://schemas.openxmlformats.org/officeDocument/2006/relationships/hyperlink" Target="https://www.airbnb.nl/rooms/21600843?viralityEntryPoint=1&amp;s=76" TargetMode="External"/><Relationship Id="rId21" Type="http://schemas.openxmlformats.org/officeDocument/2006/relationships/hyperlink" Target="https://www.airbnb.nl/rooms/21600843?viralityEntryPoint=1&amp;s=76" TargetMode="External"/><Relationship Id="rId24" Type="http://schemas.openxmlformats.org/officeDocument/2006/relationships/hyperlink" Target="https://www.airbnb.nl/rooms/21600843?viralityEntryPoint=1&amp;s=76" TargetMode="External"/><Relationship Id="rId23" Type="http://schemas.openxmlformats.org/officeDocument/2006/relationships/hyperlink" Target="https://www.airbnb.nl/rooms/21600843?viralityEntryPoint=1&amp;s=76" TargetMode="External"/><Relationship Id="rId26" Type="http://schemas.openxmlformats.org/officeDocument/2006/relationships/hyperlink" Target="https://www.airbnb.nl/rooms/21600843?viralityEntryPoint=1&amp;s=76" TargetMode="External"/><Relationship Id="rId25" Type="http://schemas.openxmlformats.org/officeDocument/2006/relationships/hyperlink" Target="https://www.airbnb.nl/rooms/21600843?viralityEntryPoint=1&amp;s=76" TargetMode="External"/><Relationship Id="rId28" Type="http://schemas.openxmlformats.org/officeDocument/2006/relationships/hyperlink" Target="https://secure.booking.com/confirmation.nl.html?label=lgnl_crEUR_sf_fn_piPRkLMeRuNjOx_oiOF06AY3UAJRx_sctpa_pl_ta_neg_fi_tikwd-2471616913092_lp1010754_li_dec_dm_ag196401585027_ci23568827516&amp;sid=58385233827b3dc4126ecb2cfd20fd81&amp;aid=2421090&amp;auth_key=X7EBOVauwp1Qiynh&amp;source=mytrips" TargetMode="External"/><Relationship Id="rId27" Type="http://schemas.openxmlformats.org/officeDocument/2006/relationships/hyperlink" Target="https://www.airbnb.nl/rooms/21600843?viralityEntryPoint=1&amp;s=76" TargetMode="External"/><Relationship Id="rId29" Type="http://schemas.openxmlformats.org/officeDocument/2006/relationships/hyperlink" Target="https://chamberslodges.com.au/" TargetMode="External"/><Relationship Id="rId95" Type="http://schemas.openxmlformats.org/officeDocument/2006/relationships/hyperlink" Target="https://www.thesandskhaolak.com/index.php" TargetMode="External"/><Relationship Id="rId94" Type="http://schemas.openxmlformats.org/officeDocument/2006/relationships/hyperlink" Target="https://www.booking.com/hotel/sg/grand-copthorne-waterfront.nl.html?label=lgnl_crEUR_sf_fn_piPRkLMeRuNjOx_oiOF06AY3UAJRx_sctpa_pl_ta_neg_fi_tikwd-2471616913092_lp1010754_li_dec_dm_ag196401585027_ci23568827516&amp;sid=58385233827b3dc4126ecb2cfd20fd81&amp;aid=2421090&amp;ucfs=1&amp;checkin=2027-01-21&amp;checkout=2027-01-25&amp;dest_id=-73635&amp;dest_type=city&amp;group_adults=2&amp;no_rooms=1&amp;group_children=2&amp;age=7&amp;req_age=7&amp;age=9&amp;req_age=9&amp;nflt=price%3DEUR-min-230-1%3Bhotelfacility%3D433&amp;srpvid=c513666c1f030198&amp;srepoch=1771770897&amp;matching_block_id=2512653_95148948_2_1_0&amp;atlas_src=sr_iw_title" TargetMode="External"/><Relationship Id="rId97" Type="http://schemas.openxmlformats.org/officeDocument/2006/relationships/hyperlink" Target="https://www.thesandskhaolak.com/index.php" TargetMode="External"/><Relationship Id="rId96" Type="http://schemas.openxmlformats.org/officeDocument/2006/relationships/hyperlink" Target="https://www.thesandskhaolak.com/index.php" TargetMode="External"/><Relationship Id="rId11" Type="http://schemas.openxmlformats.org/officeDocument/2006/relationships/hyperlink" Target="https://www.booking.com/hotel/au/brisbane-1.nl.html?label=gen173nr-10CAso6AFCEWVpbGVlbnMtdHJlZXMtaW5uSBxYBGipAYgBAZgBM7gBF8gBDNgBA-gBAfgBAYgCAagCAbgCw6uNzAbAAgHSAiQ0MWI3MmEyMS04MDI1LTRhYTUtYjVlZi1iOTc1Y2ViNWQ5ZDDYAgHgAgE&amp;sid=58385233827b3dc4126ecb2cfd20fd81&amp;aid=304142" TargetMode="External"/><Relationship Id="rId99" Type="http://schemas.openxmlformats.org/officeDocument/2006/relationships/hyperlink" Target="https://www.magicalmountainviewresort.com/" TargetMode="External"/><Relationship Id="rId10" Type="http://schemas.openxmlformats.org/officeDocument/2006/relationships/hyperlink" Target="https://www.booking.com/hotel/au/brisbane-1.nl.html?label=gen173nr-10CAso6AFCEWVpbGVlbnMtdHJlZXMtaW5uSBxYBGipAYgBAZgBM7gBF8gBDNgBA-gBAfgBAYgCAagCAbgCw6uNzAbAAgHSAiQ0MWI3MmEyMS04MDI1LTRhYTUtYjVlZi1iOTc1Y2ViNWQ5ZDDYAgHgAgE&amp;sid=58385233827b3dc4126ecb2cfd20fd81&amp;aid=304142" TargetMode="External"/><Relationship Id="rId98" Type="http://schemas.openxmlformats.org/officeDocument/2006/relationships/hyperlink" Target="https://www.thesandskhaolak.com/index.php" TargetMode="External"/><Relationship Id="rId13" Type="http://schemas.openxmlformats.org/officeDocument/2006/relationships/hyperlink" Target="https://www.airbnb.nl/rooms/54331136?photo_id=2420221961&amp;source_impression_id=p3_1769886957_P3qy0z1aoSnqd-qr&amp;previous_page_section_name=1000" TargetMode="External"/><Relationship Id="rId12" Type="http://schemas.openxmlformats.org/officeDocument/2006/relationships/hyperlink" Target="https://www.booking.com/hotel/au/brisbane-1.nl.html?label=gen173nr-10CAso6AFCEWVpbGVlbnMtdHJlZXMtaW5uSBxYBGipAYgBAZgBM7gBF8gBDNgBA-gBAfgBAYgCAagCAbgCw6uNzAbAAgHSAiQ0MWI3MmEyMS04MDI1LTRhYTUtYjVlZi1iOTc1Y2ViNWQ5ZDDYAgHgAgE&amp;sid=58385233827b3dc4126ecb2cfd20fd81&amp;aid=304142" TargetMode="External"/><Relationship Id="rId91" Type="http://schemas.openxmlformats.org/officeDocument/2006/relationships/hyperlink" Target="https://www.booking.com/hotel/sg/grand-copthorne-waterfront.nl.html?label=lgnl_crEUR_sf_fn_piPRkLMeRuNjOx_oiOF06AY3UAJRx_sctpa_pl_ta_neg_fi_tikwd-2471616913092_lp1010754_li_dec_dm_ag196401585027_ci23568827516&amp;sid=58385233827b3dc4126ecb2cfd20fd81&amp;aid=2421090&amp;ucfs=1&amp;checkin=2027-01-21&amp;checkout=2027-01-25&amp;dest_id=-73635&amp;dest_type=city&amp;group_adults=2&amp;no_rooms=1&amp;group_children=2&amp;age=7&amp;req_age=7&amp;age=9&amp;req_age=9&amp;nflt=price%3DEUR-min-230-1%3Bhotelfacility%3D433&amp;srpvid=c513666c1f030198&amp;srepoch=1771770897&amp;matching_block_id=2512653_95148948_2_1_0&amp;atlas_src=sr_iw_title" TargetMode="External"/><Relationship Id="rId90" Type="http://schemas.openxmlformats.org/officeDocument/2006/relationships/hyperlink" Target="https://www.booking.com/hotel/nz/grand-millennium-auckland.nl.html?label=gen173nr-10CAEoggI46AdIM1gEaKkBiAEBmAEzuAEHyAEM2AED6AEB-AEBiAIBqAIBuAKAsaPLBsACAdICJGExZTJmMzM5LTFmNWMtNDVkNy05YmVhLWU5NzZkZWFmMTdjY9gCAeACAQ&amp;aid=304142&amp;ucfs=1&amp;checkin=2027-01-19&amp;checkout=2027-01-21&amp;dest_id=-1506909&amp;dest_type=city&amp;group_adults=2&amp;no_rooms=1&amp;group_children=2&amp;age=8&amp;req_age=8&amp;age=10&amp;req_age=10&amp;nflt=oos%3D1%3Bprice%3DEUR-min-180-1%3Bhotelfacility%3D433&amp;srpvid=38a46e10163202b1&amp;srepoch=1774208674&amp;matching_block_id=4311826_91457047_2_2_0&amp;atlas_src=sr_iw_title" TargetMode="External"/><Relationship Id="rId93" Type="http://schemas.openxmlformats.org/officeDocument/2006/relationships/hyperlink" Target="https://www.booking.com/hotel/sg/grand-copthorne-waterfront.nl.html?label=lgnl_crEUR_sf_fn_piPRkLMeRuNjOx_oiOF06AY3UAJRx_sctpa_pl_ta_neg_fi_tikwd-2471616913092_lp1010754_li_dec_dm_ag196401585027_ci23568827516&amp;sid=58385233827b3dc4126ecb2cfd20fd81&amp;aid=2421090&amp;ucfs=1&amp;checkin=2027-01-21&amp;checkout=2027-01-25&amp;dest_id=-73635&amp;dest_type=city&amp;group_adults=2&amp;no_rooms=1&amp;group_children=2&amp;age=7&amp;req_age=7&amp;age=9&amp;req_age=9&amp;nflt=price%3DEUR-min-230-1%3Bhotelfacility%3D433&amp;srpvid=c513666c1f030198&amp;srepoch=1771770897&amp;matching_block_id=2512653_95148948_2_1_0&amp;atlas_src=sr_iw_title" TargetMode="External"/><Relationship Id="rId92" Type="http://schemas.openxmlformats.org/officeDocument/2006/relationships/hyperlink" Target="https://www.booking.com/hotel/sg/grand-copthorne-waterfront.nl.html?label=lgnl_crEUR_sf_fn_piPRkLMeRuNjOx_oiOF06AY3UAJRx_sctpa_pl_ta_neg_fi_tikwd-2471616913092_lp1010754_li_dec_dm_ag196401585027_ci23568827516&amp;sid=58385233827b3dc4126ecb2cfd20fd81&amp;aid=2421090&amp;ucfs=1&amp;checkin=2027-01-21&amp;checkout=2027-01-25&amp;dest_id=-73635&amp;dest_type=city&amp;group_adults=2&amp;no_rooms=1&amp;group_children=2&amp;age=7&amp;req_age=7&amp;age=9&amp;req_age=9&amp;nflt=price%3DEUR-min-230-1%3Bhotelfacility%3D433&amp;srpvid=c513666c1f030198&amp;srepoch=1771770897&amp;matching_block_id=2512653_95148948_2_1_0&amp;atlas_src=sr_iw_title" TargetMode="External"/><Relationship Id="rId15" Type="http://schemas.openxmlformats.org/officeDocument/2006/relationships/hyperlink" Target="https://www.airbnb.nl/rooms/54331136?photo_id=2420221961&amp;source_impression_id=p3_1769886957_P3qy0z1aoSnqd-qr&amp;previous_page_section_name=1000" TargetMode="External"/><Relationship Id="rId110" Type="http://schemas.openxmlformats.org/officeDocument/2006/relationships/hyperlink" Target="https://www.booking.com/hotel/th/baan-karon-resort.nl.html?label=metagha-link-MRNL-hotel-42679_dev-desktop_los-1_bw-25_dow-Sunday_defdate-1_room-0_gstadt-2_rateid-public_aud-0_gacid-21415134391_mcid-50_bc-AACmtw_ppa-0_clrid-0_ad-1_gstkid-0_checkin-20260503_ppt-CgB_lp-2528_r-13825456660457007468&amp;sid=58385233827b3dc4126ecb2cfd20fd81&amp;aid=1288240&amp;ucfs=1&amp;checkin=2027-02-08&amp;checkout=2027-02-11&amp;dest_id=-3253342&amp;dest_type=city&amp;group_adults=2&amp;no_rooms=1&amp;group_children=2&amp;age=10&amp;req_age=10&amp;age=8&amp;req_age=8&amp;nflt=price%3DEUR-min-160-1%3Bmealplan%3D1%3Bhotelfacility%3D433&amp;srpvid=d7cd86a363ad00fd&amp;srepoch=1778872219&amp;matching_block_id=26903371_414125192_0_1_0&amp;atlas_src=sr_iw_title" TargetMode="External"/><Relationship Id="rId14" Type="http://schemas.openxmlformats.org/officeDocument/2006/relationships/hyperlink" Target="https://www.airbnb.nl/rooms/54331136?photo_id=2420221961&amp;source_impression_id=p3_1769886957_P3qy0z1aoSnqd-qr&amp;previous_page_section_name=1000" TargetMode="External"/><Relationship Id="rId17" Type="http://schemas.openxmlformats.org/officeDocument/2006/relationships/hyperlink" Target="https://www.booking.com/hotel/au/myuna-holiday-apartments.nl.html?label=gen173nr-10CAso6AFCEWVpbGVlbnMtdHJlZXMtaW5uSBxYBGipAYgBAZgBM7gBF8gBDNgBA-gBAfgBAYgCAagCAbgCw6uNzAbAAgHSAiQ0MWI3MmEyMS04MDI1LTRhYTUtYjVlZi1iOTc1Y2ViNWQ5ZDDYAgHgAgE&amp;sid=58385233827b3dc4126ecb2cfd20fd81&amp;aid=304142" TargetMode="External"/><Relationship Id="rId16" Type="http://schemas.openxmlformats.org/officeDocument/2006/relationships/hyperlink" Target="https://www.booking.com/hotel/au/rosellas-on-springbrook.nl.html?label=gen173nr-10CAso6AFCEWVpbGVlbnMtdHJlZXMtaW5uSBxYBGipAYgBAZgBM7gBF8gBDNgBA-gBAfgBAYgCAagCAbgCw6uNzAbAAgHSAiQ0MWI3MmEyMS04MDI1LTRhYTUtYjVlZi1iOTc1Y2ViNWQ5ZDDYAgHgAgE&amp;sid=58385233827b3dc4126ecb2cfd20fd81&amp;aid=304142" TargetMode="External"/><Relationship Id="rId19" Type="http://schemas.openxmlformats.org/officeDocument/2006/relationships/hyperlink" Target="https://www.blackwattlefarm.com.au/rooms" TargetMode="External"/><Relationship Id="rId18" Type="http://schemas.openxmlformats.org/officeDocument/2006/relationships/hyperlink" Target="https://www.booking.com/hotel/au/myuna-holiday-apartments.nl.html?label=gen173nr-10CAso6AFCEWVpbGVlbnMtdHJlZXMtaW5uSBxYBGipAYgBAZgBM7gBF8gBDNgBA-gBAfgBAYgCAagCAbgCw6uNzAbAAgHSAiQ0MWI3MmEyMS04MDI1LTRhYTUtYjVlZi1iOTc1Y2ViNWQ5ZDDYAgHgAgE&amp;sid=58385233827b3dc4126ecb2cfd20fd81&amp;aid=304142" TargetMode="External"/><Relationship Id="rId112" Type="http://schemas.openxmlformats.org/officeDocument/2006/relationships/drawing" Target="../drawings/drawing2.xml"/><Relationship Id="rId111" Type="http://schemas.openxmlformats.org/officeDocument/2006/relationships/hyperlink" Target="https://www.booking.com/hotel/th/baan-karon-resort.nl.html?label=metagha-link-MRNL-hotel-42679_dev-desktop_los-1_bw-25_dow-Sunday_defdate-1_room-0_gstadt-2_rateid-public_aud-0_gacid-21415134391_mcid-50_bc-AACmtw_ppa-0_clrid-0_ad-1_gstkid-0_checkin-20260503_ppt-CgB_lp-2528_r-13825456660457007468&amp;sid=58385233827b3dc4126ecb2cfd20fd81&amp;aid=1288240&amp;ucfs=1&amp;checkin=2027-02-08&amp;checkout=2027-02-11&amp;dest_id=-3253342&amp;dest_type=city&amp;group_adults=2&amp;no_rooms=1&amp;group_children=2&amp;age=10&amp;req_age=10&amp;age=8&amp;req_age=8&amp;nflt=price%3DEUR-min-160-1%3Bmealplan%3D1%3Bhotelfacility%3D433&amp;srpvid=d7cd86a363ad00fd&amp;srepoch=1778872219&amp;matching_block_id=26903371_414125192_0_1_0&amp;atlas_src=sr_iw_title" TargetMode="External"/><Relationship Id="rId84" Type="http://schemas.openxmlformats.org/officeDocument/2006/relationships/hyperlink" Target="https://www.hotwaterbeachtop10.co.nz/" TargetMode="External"/><Relationship Id="rId83" Type="http://schemas.openxmlformats.org/officeDocument/2006/relationships/hyperlink" Target="http://booking.com/hotel/nz/rotorua-hideaway-lodge.nl.html?aid=304142&amp;label=gen173nr-10CAEoggI46AdIM1gEaKkBiAEBmAEzuAEHyAEM2AED6AEB-AEBiAIBqAIBuAKAsaPLBsACAdICJGExZTJmMzM5LTFmNWMtNDVkNy05YmVhLWU5NzZkZWFmMTdjY9gCAeACAQ&amp;sid=e52a85b3cbf592e6f63f2c39287a1c6a&amp;age=10&amp;age=8&amp;all_sr_blocks=32426105_99746888_4_0_0_292436&amp;checkin=2027-01-12&amp;checkout=2027-01-14&amp;dest_id=900039038&amp;dest_type=city&amp;dist=0&amp;group_adults=2&amp;group_children=2&amp;hapos=11&amp;highlighted_blocks=32426105_99746888_4_0_0_292436&amp;hpos=11&amp;matching_block_id=32426105_99746888_4_0_0_292436&amp;no_rooms=1&amp;req_adults=2&amp;req_age=10&amp;req_age=8&amp;req_children=2&amp;room1=A%2CA%2C8%2C10&amp;sb_price_type=total&amp;sr_order=popularity&amp;sr_pri_blocks=32426105_99746888_4_0_0_292436_56661&amp;srepoch=1774192550&amp;srpvid=2b516b2decc5005d&amp;type=total&amp;ucfs=1&amp;" TargetMode="External"/><Relationship Id="rId86" Type="http://schemas.openxmlformats.org/officeDocument/2006/relationships/hyperlink" Target="https://www.hotwaterbeachtop10.co.nz/" TargetMode="External"/><Relationship Id="rId85" Type="http://schemas.openxmlformats.org/officeDocument/2006/relationships/hyperlink" Target="https://www.hotwaterbeachtop10.co.nz/" TargetMode="External"/><Relationship Id="rId88" Type="http://schemas.openxmlformats.org/officeDocument/2006/relationships/hyperlink" Target="https://www.hotwaterbeachtop10.co.nz/" TargetMode="External"/><Relationship Id="rId87" Type="http://schemas.openxmlformats.org/officeDocument/2006/relationships/hyperlink" Target="https://www.hotwaterbeachtop10.co.nz/" TargetMode="External"/><Relationship Id="rId89" Type="http://schemas.openxmlformats.org/officeDocument/2006/relationships/hyperlink" Target="https://www.booking.com/hotel/nz/grand-millennium-auckland.nl.html?label=gen173nr-10CAEoggI46AdIM1gEaKkBiAEBmAEzuAEHyAEM2AED6AEB-AEBiAIBqAIBuAKAsaPLBsACAdICJGExZTJmMzM5LTFmNWMtNDVkNy05YmVhLWU5NzZkZWFmMTdjY9gCAeACAQ&amp;aid=304142&amp;ucfs=1&amp;checkin=2027-01-19&amp;checkout=2027-01-21&amp;dest_id=-1506909&amp;dest_type=city&amp;group_adults=2&amp;no_rooms=1&amp;group_children=2&amp;age=8&amp;req_age=8&amp;age=10&amp;req_age=10&amp;nflt=oos%3D1%3Bprice%3DEUR-min-180-1%3Bhotelfacility%3D433&amp;srpvid=38a46e10163202b1&amp;srepoch=1774208674&amp;matching_block_id=4311826_91457047_2_2_0&amp;atlas_src=sr_iw_title" TargetMode="External"/><Relationship Id="rId80" Type="http://schemas.openxmlformats.org/officeDocument/2006/relationships/hyperlink" Target="https://www.taupodebretts.co.nz/hot-pools" TargetMode="External"/><Relationship Id="rId82" Type="http://schemas.openxmlformats.org/officeDocument/2006/relationships/hyperlink" Target="http://booking.com/hotel/nz/rotorua-hideaway-lodge.nl.html?aid=304142&amp;label=gen173nr-10CAEoggI46AdIM1gEaKkBiAEBmAEzuAEHyAEM2AED6AEB-AEBiAIBqAIBuAKAsaPLBsACAdICJGExZTJmMzM5LTFmNWMtNDVkNy05YmVhLWU5NzZkZWFmMTdjY9gCAeACAQ&amp;sid=e52a85b3cbf592e6f63f2c39287a1c6a&amp;age=10&amp;age=8&amp;all_sr_blocks=32426105_99746888_4_0_0_292436&amp;checkin=2027-01-12&amp;checkout=2027-01-14&amp;dest_id=900039038&amp;dest_type=city&amp;dist=0&amp;group_adults=2&amp;group_children=2&amp;hapos=11&amp;highlighted_blocks=32426105_99746888_4_0_0_292436&amp;hpos=11&amp;matching_block_id=32426105_99746888_4_0_0_292436&amp;no_rooms=1&amp;req_adults=2&amp;req_age=10&amp;req_age=8&amp;req_children=2&amp;room1=A%2CA%2C8%2C10&amp;sb_price_type=total&amp;sr_order=popularity&amp;sr_pri_blocks=32426105_99746888_4_0_0_292436_56661&amp;srepoch=1774192550&amp;srpvid=2b516b2decc5005d&amp;type=total&amp;ucfs=1&amp;" TargetMode="External"/><Relationship Id="rId81" Type="http://schemas.openxmlformats.org/officeDocument/2006/relationships/hyperlink" Target="https://canopycamping.co.nz/find-your-escape" TargetMode="External"/><Relationship Id="rId1" Type="http://schemas.openxmlformats.org/officeDocument/2006/relationships/hyperlink" Target="https://www.coltoninn.com/" TargetMode="External"/><Relationship Id="rId2" Type="http://schemas.openxmlformats.org/officeDocument/2006/relationships/hyperlink" Target="https://www.choicehotels.com/en-uk/california/san-simeon/quality-inn-hotels" TargetMode="External"/><Relationship Id="rId3" Type="http://schemas.openxmlformats.org/officeDocument/2006/relationships/hyperlink" Target="https://brycevistas.com/" TargetMode="External"/><Relationship Id="rId4" Type="http://schemas.openxmlformats.org/officeDocument/2006/relationships/hyperlink" Target="https://therivatzion.com/" TargetMode="External"/><Relationship Id="rId9" Type="http://schemas.openxmlformats.org/officeDocument/2006/relationships/hyperlink" Target="https://www.barefootkuatafiji.com/" TargetMode="External"/><Relationship Id="rId5" Type="http://schemas.openxmlformats.org/officeDocument/2006/relationships/hyperlink" Target="https://therivatzion.com/" TargetMode="External"/><Relationship Id="rId6" Type="http://schemas.openxmlformats.org/officeDocument/2006/relationships/hyperlink" Target="https://therivatzion.com/" TargetMode="External"/><Relationship Id="rId7" Type="http://schemas.openxmlformats.org/officeDocument/2006/relationships/hyperlink" Target="https://www.barefootkuatafiji.com/" TargetMode="External"/><Relationship Id="rId8" Type="http://schemas.openxmlformats.org/officeDocument/2006/relationships/hyperlink" Target="https://www.barefootkuatafiji.com/" TargetMode="External"/><Relationship Id="rId73" Type="http://schemas.openxmlformats.org/officeDocument/2006/relationships/hyperlink" Target="https://www.booking.com/hotel/nz/mangorei-heights.nl.html?label=gen173nr-10CAEoggI46AdIM1gEaKkBiAEBmAEzuAEHyAEM2AED6AEB-AEBiAIBqAIBuAKAsaPLBsACAdICJGExZTJmMzM5LTFmNWMtNDVkNy05YmVhLWU5NzZkZWFmMTdjY9gCAeACAQ&amp;sid=e52a85b3cbf592e6f63f2c39287a1c6a&amp;aid=304142" TargetMode="External"/><Relationship Id="rId72" Type="http://schemas.openxmlformats.org/officeDocument/2006/relationships/hyperlink" Target="https://www.airbnb.nl/rooms/9684916?photo_id=2220679948&amp;source_impression_id=p3_1771169475_P3rjKaEXONFmkoIH&amp;previous_page_section_name=1000" TargetMode="External"/><Relationship Id="rId75" Type="http://schemas.openxmlformats.org/officeDocument/2006/relationships/hyperlink" Target="https://www.booking.com/hotel/nz/waitomo-top-10-holiday-park.nl.html?label=gen173nr-10CAEoggI46AdIM1gEaKkBiAEBmAEzuAEHyAEM2AED6AEB-AEBiAIBqAIBuAKAsaPLBsACAdICJGExZTJmMzM5LTFmNWMtNDVkNy05YmVhLWU5NzZkZWFmMTdjY9gCAeACAQ&amp;aid=304142&amp;ucfs=1&amp;checkin=2027-01-07&amp;checkout=2027-01-08&amp;dest_id=-1521103&amp;dest_type=city&amp;group_adults=2&amp;no_rooms=1&amp;group_children=2&amp;age=7&amp;req_age=7&amp;age=9&amp;req_age=9&amp;nflt=price%3DEUR-min-180-1%3Bhotelfacility%3D433&amp;srpvid=8ec88b2299c70454&amp;srepoch=1770926799&amp;matching_block_id=38496707_266266358_4_0_0&amp;atlas_src=sr_iw_title" TargetMode="External"/><Relationship Id="rId74" Type="http://schemas.openxmlformats.org/officeDocument/2006/relationships/hyperlink" Target="https://www.booking.com/hotel/nz/mangorei-heights.nl.html?label=gen173nr-10CAEoggI46AdIM1gEaKkBiAEBmAEzuAEHyAEM2AED6AEB-AEBiAIBqAIBuAKAsaPLBsACAdICJGExZTJmMzM5LTFmNWMtNDVkNy05YmVhLWU5NzZkZWFmMTdjY9gCAeACAQ&amp;sid=e52a85b3cbf592e6f63f2c39287a1c6a&amp;aid=304142" TargetMode="External"/><Relationship Id="rId77" Type="http://schemas.openxmlformats.org/officeDocument/2006/relationships/hyperlink" Target="https://www.taupodebretts.co.nz/hot-pools" TargetMode="External"/><Relationship Id="rId76" Type="http://schemas.openxmlformats.org/officeDocument/2006/relationships/hyperlink" Target="https://www.taupodebretts.co.nz/hot-pools" TargetMode="External"/><Relationship Id="rId79" Type="http://schemas.openxmlformats.org/officeDocument/2006/relationships/hyperlink" Target="https://www.taupodebretts.co.nz/hot-pools" TargetMode="External"/><Relationship Id="rId78" Type="http://schemas.openxmlformats.org/officeDocument/2006/relationships/hyperlink" Target="https://www.tongariroexpeditions.com/shuttle-options/taupo-return-shuttle" TargetMode="External"/><Relationship Id="rId71" Type="http://schemas.openxmlformats.org/officeDocument/2006/relationships/hyperlink" Target="https://www.airbnb.nl/rooms/9684916?photo_id=2220679948&amp;source_impression_id=p3_1771169475_P3rjKaEXONFmkoIH&amp;previous_page_section_name=1000" TargetMode="External"/><Relationship Id="rId70" Type="http://schemas.openxmlformats.org/officeDocument/2006/relationships/hyperlink" Target="https://www.broadwaymotel.co.nz/" TargetMode="External"/><Relationship Id="rId62" Type="http://schemas.openxmlformats.org/officeDocument/2006/relationships/hyperlink" Target="https://rainforest.nz/holiday-park/" TargetMode="External"/><Relationship Id="rId61" Type="http://schemas.openxmlformats.org/officeDocument/2006/relationships/hyperlink" Target="https://rainforest.nz/holiday-park/" TargetMode="External"/><Relationship Id="rId64" Type="http://schemas.openxmlformats.org/officeDocument/2006/relationships/hyperlink" Target="https://barn.co.nz/" TargetMode="External"/><Relationship Id="rId63" Type="http://schemas.openxmlformats.org/officeDocument/2006/relationships/hyperlink" Target="https://www.booking.com/hotel/nz/punakaiki-beachfront-motels.nl.html?label=gen173nr-10CAEoggI46AdIM1gEaKkBiAEBmAEzuAEHyAEM2AED6AEB-AEBiAIBqAIBuAKAsaPLBsACAdICJGExZTJmMzM5LTFmNWMtNDVkNy05YmVhLWU5NzZkZWFmMTdjY9gCAeACAQ&amp;sid=e52a85b3cbf592e6f63f2c39287a1c6a&amp;aid=304142" TargetMode="External"/><Relationship Id="rId66" Type="http://schemas.openxmlformats.org/officeDocument/2006/relationships/hyperlink" Target="https://barn.co.nz/" TargetMode="External"/><Relationship Id="rId65" Type="http://schemas.openxmlformats.org/officeDocument/2006/relationships/hyperlink" Target="https://barn.co.nz/" TargetMode="External"/><Relationship Id="rId68" Type="http://schemas.openxmlformats.org/officeDocument/2006/relationships/hyperlink" Target="https://canopycamping.co.nz/find-your-escape" TargetMode="External"/><Relationship Id="rId67" Type="http://schemas.openxmlformats.org/officeDocument/2006/relationships/hyperlink" Target="https://www.booking.com/hotel/nz/collingwood-cottage.nl.html?label=gen173nr-10CAEoggI46AdIM1gEaKkBiAEBmAEzuAEHyAEM2AED6AEB-AEBiAIBqAIBuAKF_O_KBsACAdICJGNkY2E4NTEyLWQ2MDgtNGE0OC05NmI2LTk1MWFkZTEwMjZmM9gCAeACAQ&amp;sid=e7305b77bb0f53228a4e0c78d17d6ca4&amp;aid=304142" TargetMode="External"/><Relationship Id="rId60" Type="http://schemas.openxmlformats.org/officeDocument/2006/relationships/hyperlink" Target="https://www.booking.com/hotel/nz/toi-toi-holiday-home.nl.html?label=gen173nr-10CAEoggI46AdIM1gEaKkBiAEBmAEzuAEHyAEM2AED6AEB-AEBiAIBqAIBuAKAsaPLBsACAdICJGExZTJmMzM5LTFmNWMtNDVkNy05YmVhLWU5NzZkZWFmMTdjY9gCAeACAQ&amp;aid=304142&amp;ucfs=1&amp;checkin=2026-12-23&amp;checkout=2026-12-25&amp;dest_id=-1516080&amp;dest_type=city&amp;group_adults=2&amp;no_rooms=1&amp;group_children=2&amp;age=7&amp;req_age=7&amp;age=9&amp;req_age=9&amp;nflt=price%3DEUR-min-200-1&amp;srpvid=5dde618ea09b01c4&amp;srepoch=1770386517&amp;matching_block_id=1042234601_376644161_4_0_0_530773&amp;atlas_src=sr_iw_title" TargetMode="External"/><Relationship Id="rId69" Type="http://schemas.openxmlformats.org/officeDocument/2006/relationships/hyperlink" Target="https://www.booking.com/hotel/nz/collingwood-cottage.nl.html?label=gen173nr-10CAEoggI46AdIM1gEaKkBiAEBmAEzuAEHyAEM2AED6AEB-AEBiAIBqAIBuAKF_O_KBsACAdICJGNkY2E4NTEyLWQ2MDgtNGE0OC05NmI2LTk1MWFkZTEwMjZmM9gCAeACAQ&amp;sid=e7305b77bb0f53228a4e0c78d17d6ca4&amp;aid=304142" TargetMode="External"/><Relationship Id="rId51" Type="http://schemas.openxmlformats.org/officeDocument/2006/relationships/hyperlink" Target="https://www.booking.com/hotel/nz/inner-city-haven-location-location-location.nl.html?label=gen173nr-10CAEoggI46AdIM1gEaKkBiAEBmAEzuAEHyAEM2AED6AEB-AEBiAIBqAIBuAKAsaPLBsACAdICJGExZTJmMzM5LTFmNWMtNDVkNy05YmVhLWU5NzZkZWFmMTdjY9gCAeACAQ&amp;sid=e52a85b3cbf592e6f63f2c39287a1c6a&amp;aid=304142" TargetMode="External"/><Relationship Id="rId50" Type="http://schemas.openxmlformats.org/officeDocument/2006/relationships/hyperlink" Target="https://www.booking.com/hotel/nz/inner-city-haven-location-location-location.nl.html?label=gen173nr-10CAEoggI46AdIM1gEaKkBiAEBmAEzuAEHyAEM2AED6AEB-AEBiAIBqAIBuAKAsaPLBsACAdICJGExZTJmMzM5LTFmNWMtNDVkNy05YmVhLWU5NzZkZWFmMTdjY9gCAeACAQ&amp;sid=e52a85b3cbf592e6f63f2c39287a1c6a&amp;aid=304142" TargetMode="External"/><Relationship Id="rId53" Type="http://schemas.openxmlformats.org/officeDocument/2006/relationships/hyperlink" Target="https://www.booking.com/hotel/nz/the-shearers-quarters.nl.html?label=askray-apartment-cSIo6DzYweefYjEQIpj9fQS714023430663%3Apl%3Ata%3Ap1%3Ap2%3Aac%3Aap%3Aneg%3Afi%3Atikwd-2392211680204%3Alp1010427%3Ali%3Adec%3Adm%3Appccp%3DUmFuZG9tSVYkc2RlIyh9YbSsBl3MCvHsD8UKUHIRFxY&amp;sid=ebe3ad77cd4029892a5e367c699c80e5&amp;aid=311984&amp;ucfs=1&amp;checkin=2026-12-16&amp;checkout=2026-12-17&amp;dest_id=-1512185&amp;dest_type=city&amp;group_adults=2&amp;no_rooms=1&amp;group_children=2&amp;age=7&amp;req_age=7&amp;age=9&amp;req_age=9&amp;sr_order=price&amp;srpvid=de3d3cb2e2470055&amp;srepoch=1772529681&amp;matching_block_id=1255877701_398126718_4_0_0&amp;atlas_src=sr_iw_title" TargetMode="External"/><Relationship Id="rId52" Type="http://schemas.openxmlformats.org/officeDocument/2006/relationships/hyperlink" Target="https://www.booking.com/hotel/nz/inner-city-haven-location-location-location.nl.html?label=gen173nr-10CAEoggI46AdIM1gEaKkBiAEBmAEzuAEHyAEM2AED6AEB-AEBiAIBqAIBuAKAsaPLBsACAdICJGExZTJmMzM5LTFmNWMtNDVkNy05YmVhLWU5NzZkZWFmMTdjY9gCAeACAQ&amp;sid=e52a85b3cbf592e6f63f2c39287a1c6a&amp;aid=304142" TargetMode="External"/><Relationship Id="rId55" Type="http://schemas.openxmlformats.org/officeDocument/2006/relationships/hyperlink" Target="https://www.booking.com/hotel/nz/te-anau-lakeview.nl.html?label=gen173nr-10CAEoggI46AdIM1gEaKkBiAEBmAEzuAEHyAEM2AED6AEB-AEBiAIBqAIBuAKAsaPLBsACAdICJGExZTJmMzM5LTFmNWMtNDVkNy05YmVhLWU5NzZkZWFmMTdjY9gCAeACAQ&amp;aid=304142&amp;ucfs=1&amp;checkin=2026-12-19&amp;checkout=2026-12-21&amp;dest_id=-1519212&amp;dest_type=city&amp;group_adults=2&amp;no_rooms=1&amp;group_children=2&amp;age=7&amp;req_age=7&amp;age=9&amp;req_age=9&amp;nflt=price%3DEUR-min-210-1&amp;srpvid=35e783f36aea1070&amp;srepoch=1770922107&amp;matching_block_id=33314831_402800212_4_0_0&amp;atlas_src=sr_iw_title" TargetMode="External"/><Relationship Id="rId54" Type="http://schemas.openxmlformats.org/officeDocument/2006/relationships/hyperlink" Target="https://www.hermitage.co.nz/" TargetMode="External"/><Relationship Id="rId57" Type="http://schemas.openxmlformats.org/officeDocument/2006/relationships/hyperlink" Target="https://hampshireholidayparks.co.nz/queenstown" TargetMode="External"/><Relationship Id="rId56" Type="http://schemas.openxmlformats.org/officeDocument/2006/relationships/hyperlink" Target="https://www.booking.com/hotel/nz/te-anau-lakeview.nl.html?label=gen173nr-10CAEoggI46AdIM1gEaKkBiAEBmAEzuAEHyAEM2AED6AEB-AEBiAIBqAIBuAKAsaPLBsACAdICJGExZTJmMzM5LTFmNWMtNDVkNy05YmVhLWU5NzZkZWFmMTdjY9gCAeACAQ&amp;aid=304142&amp;ucfs=1&amp;checkin=2026-12-19&amp;checkout=2026-12-21&amp;dest_id=-1519212&amp;dest_type=city&amp;group_adults=2&amp;no_rooms=1&amp;group_children=2&amp;age=7&amp;req_age=7&amp;age=9&amp;req_age=9&amp;nflt=price%3DEUR-min-210-1&amp;srpvid=35e783f36aea1070&amp;srepoch=1770922107&amp;matching_block_id=33314831_402800212_4_0_0&amp;atlas_src=sr_iw_title" TargetMode="External"/><Relationship Id="rId59" Type="http://schemas.openxmlformats.org/officeDocument/2006/relationships/hyperlink" Target="https://www.booking.com/hotel/nz/toi-toi-holiday-home.nl.html?label=gen173nr-10CAEoggI46AdIM1gEaKkBiAEBmAEzuAEHyAEM2AED6AEB-AEBiAIBqAIBuAKAsaPLBsACAdICJGExZTJmMzM5LTFmNWMtNDVkNy05YmVhLWU5NzZkZWFmMTdjY9gCAeACAQ&amp;aid=304142&amp;ucfs=1&amp;checkin=2026-12-23&amp;checkout=2026-12-25&amp;dest_id=-1516080&amp;dest_type=city&amp;group_adults=2&amp;no_rooms=1&amp;group_children=2&amp;age=7&amp;req_age=7&amp;age=9&amp;req_age=9&amp;nflt=price%3DEUR-min-200-1&amp;srpvid=5dde618ea09b01c4&amp;srepoch=1770386517&amp;matching_block_id=1042234601_376644161_4_0_0_530773&amp;atlas_src=sr_iw_title" TargetMode="External"/><Relationship Id="rId58" Type="http://schemas.openxmlformats.org/officeDocument/2006/relationships/hyperlink" Target="https://hampshireholidayparks.co.nz/queenstown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rkskyproject.co.nz/experiences/the-summit-experience/" TargetMode="External"/><Relationship Id="rId42" Type="http://schemas.openxmlformats.org/officeDocument/2006/relationships/hyperlink" Target="https://www.abeltasmanseashuttles.co.nz/" TargetMode="External"/><Relationship Id="rId41" Type="http://schemas.openxmlformats.org/officeDocument/2006/relationships/hyperlink" Target="https://www.realnz.com/en/experiences/day-cruises/milford-sound-signature-cruise/" TargetMode="External"/><Relationship Id="rId44" Type="http://schemas.openxmlformats.org/officeDocument/2006/relationships/hyperlink" Target="https://www.waiotapu.co.nz/" TargetMode="External"/><Relationship Id="rId43" Type="http://schemas.openxmlformats.org/officeDocument/2006/relationships/hyperlink" Target="https://tepapa.govt.nz/" TargetMode="External"/><Relationship Id="rId46" Type="http://schemas.openxmlformats.org/officeDocument/2006/relationships/hyperlink" Target="https://www.mitai.co.nz/" TargetMode="External"/><Relationship Id="rId45" Type="http://schemas.openxmlformats.org/officeDocument/2006/relationships/hyperlink" Target="https://kayaktours.co.nz/" TargetMode="External"/><Relationship Id="rId48" Type="http://schemas.openxmlformats.org/officeDocument/2006/relationships/hyperlink" Target="https://www.doc.govt.nz/parks-and-recreation/places-to-go/nelson-tasman/places/takaka-area/te-waikoropupu-springs/" TargetMode="External"/><Relationship Id="rId47" Type="http://schemas.openxmlformats.org/officeDocument/2006/relationships/hyperlink" Target="https://www.goldenbaykayaks.co.nz/" TargetMode="External"/><Relationship Id="rId49" Type="http://schemas.openxmlformats.org/officeDocument/2006/relationships/hyperlink" Target="https://www.doc.govt.nz/parks-and-recreation/places-to-go/west-coast/places/hokitika-gorge-scenic-reserve/" TargetMode="External"/><Relationship Id="rId31" Type="http://schemas.openxmlformats.org/officeDocument/2006/relationships/hyperlink" Target="https://www.parks.vic.gov.au/places-to-see/parks/great-otway-national-park" TargetMode="External"/><Relationship Id="rId30" Type="http://schemas.openxmlformats.org/officeDocument/2006/relationships/hyperlink" Target="https://www.warburtonadventure.com.au/adventures/self-guided-river-tubing-adventure/" TargetMode="External"/><Relationship Id="rId33" Type="http://schemas.openxmlformats.org/officeDocument/2006/relationships/hyperlink" Target="https://www.parks.vic.gov.au/places-to-see/parks/yarra-ranges-national-park" TargetMode="External"/><Relationship Id="rId32" Type="http://schemas.openxmlformats.org/officeDocument/2006/relationships/hyperlink" Target="https://www.mrsc.vic.gov.au/See-Do/Our-Region/Natural-Attractions/Hanging-Rock/Plan-Your-Visit" TargetMode="External"/><Relationship Id="rId35" Type="http://schemas.openxmlformats.org/officeDocument/2006/relationships/hyperlink" Target="https://qvm.com.au/visit-us/" TargetMode="External"/><Relationship Id="rId34" Type="http://schemas.openxmlformats.org/officeDocument/2006/relationships/hyperlink" Target="https://www.acmi.net.au/" TargetMode="External"/><Relationship Id="rId37" Type="http://schemas.openxmlformats.org/officeDocument/2006/relationships/hyperlink" Target="https://lunapark.com.au/" TargetMode="External"/><Relationship Id="rId36" Type="http://schemas.openxmlformats.org/officeDocument/2006/relationships/hyperlink" Target="https://transport.vic.gov.au/route/15834/35-city-circle-free-tourist-tram" TargetMode="External"/><Relationship Id="rId39" Type="http://schemas.openxmlformats.org/officeDocument/2006/relationships/hyperlink" Target="https://www.penguins.org.au/attractions/st-kilda/" TargetMode="External"/><Relationship Id="rId38" Type="http://schemas.openxmlformats.org/officeDocument/2006/relationships/hyperlink" Target="https://www.komoot.com/nl-nl/tour/3192928549?share_token=aXxsZ4xh4f2cbHJ5mcjwqgwY9RyNIfZJCbUx8xh56YyKQ6AGd2&amp;ref=wtd&amp;t_s=referral&amp;t_cid=route_share&amp;t_ref_username=5138285305045" TargetMode="External"/><Relationship Id="rId20" Type="http://schemas.openxmlformats.org/officeDocument/2006/relationships/hyperlink" Target="https://www.discoverthedaintree.com/" TargetMode="External"/><Relationship Id="rId22" Type="http://schemas.openxmlformats.org/officeDocument/2006/relationships/hyperlink" Target="https://australianbutterflies.com/" TargetMode="External"/><Relationship Id="rId21" Type="http://schemas.openxmlformats.org/officeDocument/2006/relationships/hyperlink" Target="https://www.mossmangorge.com.au/" TargetMode="External"/><Relationship Id="rId24" Type="http://schemas.openxmlformats.org/officeDocument/2006/relationships/hyperlink" Target="https://australian.museum/" TargetMode="External"/><Relationship Id="rId23" Type="http://schemas.openxmlformats.org/officeDocument/2006/relationships/hyperlink" Target="https://www.portdouglasyachtclub.com.au/" TargetMode="External"/><Relationship Id="rId26" Type="http://schemas.openxmlformats.org/officeDocument/2006/relationships/hyperlink" Target="https://www.botanicgardens.org.au/royal-botanic-garden-sydney" TargetMode="External"/><Relationship Id="rId25" Type="http://schemas.openxmlformats.org/officeDocument/2006/relationships/hyperlink" Target="https://www.bridgemuseum.com.au/" TargetMode="External"/><Relationship Id="rId28" Type="http://schemas.openxmlformats.org/officeDocument/2006/relationships/hyperlink" Target="https://www.nationalparks.nsw.gov.au/things-to-do/picnic-areas/pebbly-beach-picnic-area" TargetMode="External"/><Relationship Id="rId27" Type="http://schemas.openxmlformats.org/officeDocument/2006/relationships/hyperlink" Target="https://transportnsw.info/travel-info/ways-to-get-around/ferry" TargetMode="External"/><Relationship Id="rId29" Type="http://schemas.openxmlformats.org/officeDocument/2006/relationships/hyperlink" Target="https://www.nsw.gov.au/visiting-and-exploring-nsw/locations-and-attractions/north-durras-beach" TargetMode="External"/><Relationship Id="rId11" Type="http://schemas.openxmlformats.org/officeDocument/2006/relationships/hyperlink" Target="https://australiazoo.com.au/" TargetMode="External"/><Relationship Id="rId10" Type="http://schemas.openxmlformats.org/officeDocument/2006/relationships/hyperlink" Target="https://www.barefootsharkencounters.com/the-awakening-shark-dive-fiji" TargetMode="External"/><Relationship Id="rId13" Type="http://schemas.openxmlformats.org/officeDocument/2006/relationships/hyperlink" Target="https://www.epicoceanadventures.com.au/dolphin-view-sea-kayak-tour/" TargetMode="External"/><Relationship Id="rId12" Type="http://schemas.openxmlformats.org/officeDocument/2006/relationships/hyperlink" Target="https://www.kanukapersaustralia.com/contact/meeting-place/" TargetMode="External"/><Relationship Id="rId15" Type="http://schemas.openxmlformats.org/officeDocument/2006/relationships/hyperlink" Target="https://parks.qld.gov.au/parks/crater-lakes" TargetMode="External"/><Relationship Id="rId14" Type="http://schemas.openxmlformats.org/officeDocument/2006/relationships/hyperlink" Target="https://tropicalnorthqueensland.org.au/listing/itinerary/waterfall-circuit/" TargetMode="External"/><Relationship Id="rId17" Type="http://schemas.openxmlformats.org/officeDocument/2006/relationships/hyperlink" Target="https://wavedancerlowisles.com/" TargetMode="External"/><Relationship Id="rId16" Type="http://schemas.openxmlformats.org/officeDocument/2006/relationships/hyperlink" Target="https://www.hookabarra.com/" TargetMode="External"/><Relationship Id="rId19" Type="http://schemas.openxmlformats.org/officeDocument/2006/relationships/hyperlink" Target="https://www.capetribhorserides.com.au/" TargetMode="External"/><Relationship Id="rId18" Type="http://schemas.openxmlformats.org/officeDocument/2006/relationships/hyperlink" Target="https://www.wildlifehabitat.com.au/" TargetMode="External"/><Relationship Id="rId1" Type="http://schemas.openxmlformats.org/officeDocument/2006/relationships/hyperlink" Target="https://www.nps.gov/planyourvisit/passes.htm" TargetMode="External"/><Relationship Id="rId2" Type="http://schemas.openxmlformats.org/officeDocument/2006/relationships/hyperlink" Target="https://www.blazingsaddles.com/san-francisco/locations" TargetMode="External"/><Relationship Id="rId3" Type="http://schemas.openxmlformats.org/officeDocument/2006/relationships/hyperlink" Target="https://www.parks.ca.gov/bodie" TargetMode="External"/><Relationship Id="rId4" Type="http://schemas.openxmlformats.org/officeDocument/2006/relationships/hyperlink" Target="https://www.thesphere.com/shows/the-sphere-experience" TargetMode="External"/><Relationship Id="rId9" Type="http://schemas.openxmlformats.org/officeDocument/2006/relationships/hyperlink" Target="https://www.ecotrax.com.fj/location" TargetMode="External"/><Relationship Id="rId5" Type="http://schemas.openxmlformats.org/officeDocument/2006/relationships/hyperlink" Target="https://www.antelopecanyon-x.com/canyon-tours/antelope-canyon-x-hiking-tour/" TargetMode="External"/><Relationship Id="rId6" Type="http://schemas.openxmlformats.org/officeDocument/2006/relationships/hyperlink" Target="https://navajonationparks.org/navajo-tribal-parks/monument-valley/" TargetMode="External"/><Relationship Id="rId7" Type="http://schemas.openxmlformats.org/officeDocument/2006/relationships/hyperlink" Target="https://disneyland.disney.go.com/" TargetMode="External"/><Relationship Id="rId8" Type="http://schemas.openxmlformats.org/officeDocument/2006/relationships/hyperlink" Target="https://www.santamonicapier.org/" TargetMode="External"/><Relationship Id="rId51" Type="http://schemas.openxmlformats.org/officeDocument/2006/relationships/hyperlink" Target="https://www.npdc.govt.nz/leisure-and-culture/riding-and-walking/lake-mangamahoe/" TargetMode="External"/><Relationship Id="rId50" Type="http://schemas.openxmlformats.org/officeDocument/2006/relationships/hyperlink" Target="https://www.doc.govt.nz/parks-and-recreation/places-to-go/west-coast/places/paparoa-national-park/things-to-do/tracks/punakaiki-cavern/" TargetMode="External"/><Relationship Id="rId53" Type="http://schemas.openxmlformats.org/officeDocument/2006/relationships/hyperlink" Target="https://tekaposprings.co.nz/" TargetMode="External"/><Relationship Id="rId52" Type="http://schemas.openxmlformats.org/officeDocument/2006/relationships/hyperlink" Target="https://www.doc.govt.nz/parks-and-recreation/places-to-go/otago/places/mount-aspiring-national-park/things-to-do/tracks/blue-pools-track/" TargetMode="External"/><Relationship Id="rId55" Type="http://schemas.openxmlformats.org/officeDocument/2006/relationships/hyperlink" Target="https://www.tourismthailand.org/Attraction/railay-beach" TargetMode="External"/><Relationship Id="rId54" Type="http://schemas.openxmlformats.org/officeDocument/2006/relationships/hyperlink" Target="https://www.doc.govt.nz/parks-and-recreation/places-to-go/fiordland/places/fiordland-national-park/things-to-do/tracks/routeburn-track-key-summit-track/" TargetMode="External"/><Relationship Id="rId57" Type="http://schemas.openxmlformats.org/officeDocument/2006/relationships/hyperlink" Target="https://www.tourismthailand.org/Attraction/mu-ko-similan-national-park" TargetMode="External"/><Relationship Id="rId56" Type="http://schemas.openxmlformats.org/officeDocument/2006/relationships/hyperlink" Target="https://www.tourismthailand.org/Attraction/sa-morakot-emerald-pool" TargetMode="External"/><Relationship Id="rId58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omoot.com/nl-nl/tour/3020842159" TargetMode="External"/><Relationship Id="rId41" Type="http://schemas.openxmlformats.org/officeDocument/2006/relationships/drawing" Target="../drawings/drawing10.xml"/><Relationship Id="rId43" Type="http://schemas.openxmlformats.org/officeDocument/2006/relationships/table" Target="../tables/table1.xml"/><Relationship Id="rId31" Type="http://schemas.openxmlformats.org/officeDocument/2006/relationships/hyperlink" Target="https://www.google.com/maps/dir/?api=1&amp;origin=125%20East%20Harmon%20Avenue%2C%20Las%20Vegas%2C%20NV%2089109&amp;destination=125%20East%20Harmon%20Avenue%2C%20Las%20Vegas%2C%20NV%2089109&amp;travelmode=driving&amp;waypoints=The%20Venetian%20Las%20Vegas%2C%20NV%7CCaesars%20Palace%2C%20Las%20Vegas%2C%20NV%7CSprings%20Preserve%2C%20Las%20Vegas%2C%20NV%7CFremont%20Street%20Experience%2C%20Las%20Vegas%2C%20NV" TargetMode="External"/><Relationship Id="rId30" Type="http://schemas.openxmlformats.org/officeDocument/2006/relationships/hyperlink" Target="https://www.komoot.com/nl-nl/tour/2687154335" TargetMode="External"/><Relationship Id="rId33" Type="http://schemas.openxmlformats.org/officeDocument/2006/relationships/hyperlink" Target="https://www.google.com/maps/dir/?api=1&amp;origin=4000%20Meridian%20Boulevard%2C%20Mammoth%20Lakes%2C%20CA%2093546&amp;destination=4000%20Meridian%20Boulevard%2C%20Mammoth%20Lakes%2C%20CA%2093546&amp;travelmode=driving&amp;waypoints=Convict%20Lake%2C%20CA%7CLake%20George%2C%20Mammoth%20Lakes%2C%20CA%7CTwin%20Lakes%2C%20Mammoth%20Lakes%2C%20CA%7C4000%20Meridian%20Boulevard%2C%20Mammoth%20Lakes%2C%20CA%2093546%7CMono%20Lake%20South%20Tufa%20Area%2C%20CA" TargetMode="External"/><Relationship Id="rId32" Type="http://schemas.openxmlformats.org/officeDocument/2006/relationships/hyperlink" Target="https://www.google.com/maps/dir/?api=1&amp;origin=125%20East%20Harmon%20Avenue%2C%20Las%20Vegas%2C%20NV%2089109&amp;destination=4000%20Meridian%20Boulevard%2C%20Mammoth%20Lakes%2C%20CA%2093546&amp;travelmode=driving&amp;waypoints=Dante's%20View%2C%20Death%20Valley%20National%20Park%2C%20CA%7CZabriskie%20Point%2C%20Death%20Valley%20National%20Park%2C%20CA%7CFurnace%20Creek%2C%20Death%20Valley%20National%20Park%2C%20CA%7CBadwater%20Basin%2C%20Death%20Valley%20National%20Park%2C%20CA%7CArtists%20Palette%2C%20Death%20Valley%20National%20Park%2C%20CA%7CMesquite%20Flat%20Sand%20Dunes%2C%20Death%20Valley%20National%20Park%2C%20CA" TargetMode="External"/><Relationship Id="rId35" Type="http://schemas.openxmlformats.org/officeDocument/2006/relationships/hyperlink" Target="https://www.google.com/maps/dir/?api=1&amp;origin=4000%20Meridian%20Boulevard%2C%20Mammoth%20Lakes%2C%20CA%2093546&amp;destination=11136%20Highway%20140%2C%20El%20Portal%2C%20CA%2095318&amp;travelmode=driving&amp;waypoints=Tuolumne%20Meadows%2C%20Yosemite%20National%20Park%2C%20CA%7CTenaya%20Lake%2C%20Yosemite%20National%20Park%2C%20CA%7COlmsted%20Point%2C%20Yosemite%20National%20Park%2C%20CA%7CTunnel%20View%2C%20Yosemite%20National%20Park%2C%20CA%7CGlacier%20Point%2C%20Yosemite%20National%20Park%2C%20CA" TargetMode="External"/><Relationship Id="rId34" Type="http://schemas.openxmlformats.org/officeDocument/2006/relationships/hyperlink" Target="https://www.komoot.com/nl-nl/tour/3020649321" TargetMode="External"/><Relationship Id="rId37" Type="http://schemas.openxmlformats.org/officeDocument/2006/relationships/hyperlink" Target="https://www.google.com/maps/dir/?api=1&amp;origin=11136%20Highway%20140%2C%20El%20Portal%2C%20CA%2095318&amp;destination=11136%20Highway%20140%2C%20El%20Portal%2C%20CA%2095318&amp;travelmode=driving&amp;waypoints=Curry%20Village%20Parking%2C%20Yosemite%20National%20Park%2C%20CA%7CBridalveil%20Fall%20Parking%2C%20Yosemite%20National%20Park%2C%20CA%7CSentinel%20Beach%20Picnic%20Area%2C%20Yosemite%20National%20Park%2C%20CA%7CYosemite%20Village%20Parking%2C%20Yosemite%20National%20Park%2C%20CA%7CEl%20Capitan%20Meadow%2C%20Yosemite%20National%20Park%2C%20CA%7CValley%20View%2C%20Yosemite%20National%20Park%2C%20CA" TargetMode="External"/><Relationship Id="rId36" Type="http://schemas.openxmlformats.org/officeDocument/2006/relationships/hyperlink" Target="https://www.komoot.com/nl-nl/tour/3020763322" TargetMode="External"/><Relationship Id="rId39" Type="http://schemas.openxmlformats.org/officeDocument/2006/relationships/hyperlink" Target="https://www.google.com/maps/dir/?api=1&amp;origin=11136%20Highway%20140%2C%20El%20Portal%2C%20CA%2095318&amp;destination=1630%20Pacific%20Avenue%2C%20San%20Francisco%2C%20CA%2094109&amp;travelmode=driving&amp;waypoints=Merced%20Grove%20Trailhead%2C%20Yosemite%20National%20Park%2C%20CA%7CThe%20Cultured%20Pickle%20Shop%2C%20800%20Bancroft%20Way%2C%20Berkeley%2C%20CA" TargetMode="External"/><Relationship Id="rId38" Type="http://schemas.openxmlformats.org/officeDocument/2006/relationships/hyperlink" Target="https://www.komoot.com/nl-nl/tour/2614894382" TargetMode="External"/><Relationship Id="rId20" Type="http://schemas.openxmlformats.org/officeDocument/2006/relationships/hyperlink" Target="https://www.nps.gov/brca/planyourvisit/shuttle.htm" TargetMode="External"/><Relationship Id="rId22" Type="http://schemas.openxmlformats.org/officeDocument/2006/relationships/hyperlink" Target="https://www.komoot.com/nl-nl/tour/2688381072" TargetMode="External"/><Relationship Id="rId21" Type="http://schemas.openxmlformats.org/officeDocument/2006/relationships/hyperlink" Target="https://www.google.com/maps/dir/?api=1&amp;origin=217%20South%20100%20East%2C%20Kanab%2C%20UT%2084741&amp;destination=Bryce%20Vistas%2C%20270%20East%201250%20North%2C%20Tropic%2C%20UT%2084776&amp;travelmode=driving&amp;waypoints=Sunset%20Point%2C%20Bryce%20Canyon%20National%20Park%2C%20UT%7CRainbow%20Point%2C%20Bryce%20Canyon%20National%20Park%2C%20UT%7CInspiration%20Point%2C%20Bryce%20Canyon%20National%20Park%2C%20UT%7CBryce%20Point%2C%20Bryce%20Canyon%20National%20Park%2C%20UT" TargetMode="External"/><Relationship Id="rId24" Type="http://schemas.openxmlformats.org/officeDocument/2006/relationships/hyperlink" Target="https://www.komoot.com/nl-nl/tour/2614846720" TargetMode="External"/><Relationship Id="rId23" Type="http://schemas.openxmlformats.org/officeDocument/2006/relationships/hyperlink" Target="https://www.google.com/maps/dir/?api=1&amp;origin=Bryce%20Vistas%2C%20270%20East%201250%20North%2C%20Tropic%2C%20UT%2084776&amp;destination=865%20Zion%20Park%20Boulevard%2C%20Springdale%2C%20UT%2084767&amp;travelmode=driving&amp;waypoints=Sunrise%20Point%2C%20Bryce%20Canyon%20National%20Park%2C%20UT%7CRed%20Canyon%20Visitor%20Center%2C%20UT%7CArchie's%20Food%20to%20Die%20For%2C%20Orderville%2C%20UT%7CCanyon%20Overlook%20Trailhead%2C%20Zion%20National%20Park%2C%20UT" TargetMode="External"/><Relationship Id="rId26" Type="http://schemas.openxmlformats.org/officeDocument/2006/relationships/hyperlink" Target="https://www.komoot.com/nl-nl/tour/2614840133" TargetMode="External"/><Relationship Id="rId25" Type="http://schemas.openxmlformats.org/officeDocument/2006/relationships/hyperlink" Target="https://www.google.com/maps/dir/?api=1&amp;origin=865%20Zion%20Park%20Boulevard%2C%20Springdale%2C%20UT%2084767&amp;destination=865%20Zion%20Park%20Boulevard%2C%20Springdale%2C%20UT%2084767&amp;travelmode=driving&amp;waypoints=Canyon%20Overlook%20Trailhead%2C%20Zion%20National%20Park%2C%20UT%7CZion%20Canyon%20Visitor%20Center%2C%20Springdale%2C%20UT" TargetMode="External"/><Relationship Id="rId28" Type="http://schemas.openxmlformats.org/officeDocument/2006/relationships/hyperlink" Target="https://www.komoot.com/nl-nl/tour/2614843688" TargetMode="External"/><Relationship Id="rId27" Type="http://schemas.openxmlformats.org/officeDocument/2006/relationships/hyperlink" Target="https://www.google.com/maps/dir/?api=1&amp;origin=865%20Zion%20Park%20Boulevard%2C%20Springdale%2C%20UT%2084767&amp;destination=865%20Zion%20Park%20Boulevard%2C%20Springdale%2C%20UT%2084767&amp;travelmode=driving&amp;waypoints=Zion%20Canyon%20Visitor%20Center%2C%20Springdale%2C%20UT" TargetMode="External"/><Relationship Id="rId29" Type="http://schemas.openxmlformats.org/officeDocument/2006/relationships/hyperlink" Target="https://www.google.com/maps/dir/?api=1&amp;origin=865%20Zion%20Park%20Boulevard%2C%20Springdale%2C%20UT%2084767&amp;destination=125%20East%20Harmon%20Avenue%2C%20Las%20Vegas%2C%20NV%2089109&amp;travelmode=driving&amp;waypoints=Valley%20of%20Fire%20East%20Entrance%2C%20NV%7CRainbow%20Vista%2C%20Valley%20of%20Fire%2C%20NV%7CMouse's%20Tank%20Trailhead%2C%20Valley%20of%20Fire%2C%20NV%7CWhite%20Domes%20Trailhead%2C%20Valley%20of%20Fire%2C%20NV%7CValley%20of%20Fire%20West%20Entrance%2C%20NV" TargetMode="External"/><Relationship Id="rId11" Type="http://schemas.openxmlformats.org/officeDocument/2006/relationships/hyperlink" Target="https://www.google.com/maps/dir/?api=1&amp;origin=11767%20Harbor%20Boulevard%2C%20Garden%20Grove%2C%20CA%2092840&amp;destination=11767%20Harbor%20Boulevard%2C%20Garden%20Grove%2C%20CA%2092840&amp;travelmode=driving&amp;waypoints=Mickey%20and%20Friends%20Parking%20Structure%2C%20Anaheim%2C%20CA" TargetMode="External"/><Relationship Id="rId10" Type="http://schemas.openxmlformats.org/officeDocument/2006/relationships/hyperlink" Target="https://www.google.com/maps/dir/?api=1&amp;origin=14000%20Palawan%20Way%2C%20Marina%20del%20Rey%2C%20CA%2090292&amp;destination=11767%20Harbor%20Boulevard%2C%20Garden%20Grove%2C%20CA%2092840&amp;travelmode=driving&amp;waypoints=The%20Broad%2C%20Los%20Angeles%2C%20CA%7CWalt%20Disney%20Concert%20Hall%2C%20Los%20Angeles%2C%20CA%7CEl%20Pueblo%20de%20Los%20Angeles%20Historical%20Monument%2C%20Los%20Angeles%2C%20CA%7CLittle%20Tokyo%2C%20Los%20Angeles%2C%20CA" TargetMode="External"/><Relationship Id="rId13" Type="http://schemas.openxmlformats.org/officeDocument/2006/relationships/hyperlink" Target="https://www.komoot.com/nl-nl/tour/2614761117" TargetMode="External"/><Relationship Id="rId12" Type="http://schemas.openxmlformats.org/officeDocument/2006/relationships/hyperlink" Target="https://www.google.com/maps/dir/?api=1&amp;origin=11767%20Harbor%20Boulevard%2C%20Garden%20Grove%2C%20CA%2092840&amp;destination=2815%20East%20Andy%20Devine%20Avenue%2C%20Kingman%2C%20AZ%2086401&amp;travelmode=driving&amp;waypoints=Joshua%20Tree%20National%20Park%20West%20Entrance%2C%20CA%7CKeys%20View%2C%20Joshua%20Tree%20National%20Park%2C%20CA%7CSkull%20Rock%2C%20Joshua%20Tree%20National%20Park%2C%20CA%7CJoshua%20Tree%20National%20Park%20North%20Entrance%2C%20CA" TargetMode="External"/><Relationship Id="rId15" Type="http://schemas.openxmlformats.org/officeDocument/2006/relationships/hyperlink" Target="https://www.google.com/maps/dir/?api=1&amp;origin=226%20Highway%2064%2C%20Tusayan%2C%20AZ%2086023&amp;destination=Hampton%20Inn%20Kayenta%2C%20US%20Highway%20160%2C%20Kayenta%2C%20AZ%2086033&amp;travelmode=driving&amp;waypoints=Mather%20Point%2C%20Grand%20Canyon%2C%20AZ%7CBright%20Angel%20Trailhead%2C%20Grand%20Canyon%2C%20AZ%7CGrandview%20Point%2C%20Grand%20Canyon%2C%20AZ%7CMoran%20Point%2C%20Grand%20Canyon%2C%20AZ%7CLipan%20Point%2C%20Grand%20Canyon%2C%20AZ%7CNavajo%20Point%2C%20Grand%20Canyon%2C%20AZ%7CDesert%20View%20Watchtower%2C%20Grand%20Canyon%2C%20AZ" TargetMode="External"/><Relationship Id="rId14" Type="http://schemas.openxmlformats.org/officeDocument/2006/relationships/hyperlink" Target="https://www.google.com/maps/dir/?api=1&amp;origin=2815%20East%20Andy%20Devine%20Avenue%2C%20Kingman%2C%20AZ%2086401&amp;destination=226%20Highway%2064%2C%20Tusayan%2C%20AZ%2086023&amp;travelmode=driving&amp;waypoints=Seligman%2C%20AZ%7CGrand%20Canyon%20IMAX%20Theater%2C%20Tusayan%2C%20AZ%7CGrand%20Canyon%20Visitor%20Center%2C%20AZ%7CMather%20Point%2C%20Grand%20Canyon%2C%20AZ%7CGrand%20Canyon%20Village%2C%20AZ" TargetMode="External"/><Relationship Id="rId17" Type="http://schemas.openxmlformats.org/officeDocument/2006/relationships/hyperlink" Target="https://www.google.com/maps/dir/?api=1&amp;origin=Hampton%20Inn%20Kayenta%2C%20US%20Highway%20160%2C%20Kayenta%2C%20AZ%2086033&amp;destination=The%20View%20Hotel%2C%20Monument%20Valley%20Tribal%20Park%2C%20AZ%2084536&amp;travelmode=driving&amp;waypoints=Wildcat%20Trailhead%2C%20Monument%20Valley%2C%20AZ%7CJohn%20Ford's%20Point%2C%20Monument%20Valley%2C%20AZ%7CForrest%20Gump%20Point%2C%20Mexican%20Hat%2C%20UT%7CMexican%20Hat%2C%20UT%7CGoosenecks%20State%20Park%2C%20UT" TargetMode="External"/><Relationship Id="rId16" Type="http://schemas.openxmlformats.org/officeDocument/2006/relationships/hyperlink" Target="https://www.komoot.com/nl-nl/tour/2614048812" TargetMode="External"/><Relationship Id="rId19" Type="http://schemas.openxmlformats.org/officeDocument/2006/relationships/hyperlink" Target="https://www.google.com/maps/dir/?api=1&amp;origin=The%20View%20Hotel%2C%20Monument%20Valley%20Tribal%20Park%2C%20AZ%2084536&amp;destination=217%20South%20100%20East%2C%20Kanab%2C%20UT%2084741&amp;travelmode=driving&amp;waypoints=Antelope%20Canyon%20X%20by%20Taadidiin%20Tours%2C%20AZ%7CHorseshoe%20Bend%2C%20Page%2C%20AZ%7CPage%2C%20AZ" TargetMode="External"/><Relationship Id="rId18" Type="http://schemas.openxmlformats.org/officeDocument/2006/relationships/hyperlink" Target="https://www.komoot.com/nl-nl/tour/2614787726" TargetMode="External"/><Relationship Id="rId1" Type="http://schemas.openxmlformats.org/officeDocument/2006/relationships/hyperlink" Target="https://bikeandview.com/bike-rental" TargetMode="External"/><Relationship Id="rId2" Type="http://schemas.openxmlformats.org/officeDocument/2006/relationships/hyperlink" Target="https://www.google.com/maps/dir/?api=1&amp;origin=433%20Powell%20Street%2C%20San%20Francisco%2C%20CA%2094102&amp;destination=707%20Pacific%20Street%2C%20Monterey%2C%20CA%2093940&amp;travelmode=driving&amp;waypoints=Santa%20Cruz%20Wharf%2C%20Santa%20Cruz%2C%20CA%7COld%20Fisherman's%20Wharf%2C%20Monterey%2C%20CA%7CPacific%20Grove%20Gate%2C%2017%20Mile%20Drive%2C%20CA%7CSpanish%20Bay%2C%20Pebble%20Beach%2C%20CA%7CLone%20Cypress%2C%20Pebble%20Beach%2C%20CA%7CPoint%20Lobos%20State%20Natural%20Reserve%2C%20CA%7CCarmel-by-the-Sea%2C%20CA" TargetMode="External"/><Relationship Id="rId3" Type="http://schemas.openxmlformats.org/officeDocument/2006/relationships/hyperlink" Target="https://www.komoot.com/nl-nl/tour/2614904856" TargetMode="External"/><Relationship Id="rId4" Type="http://schemas.openxmlformats.org/officeDocument/2006/relationships/hyperlink" Target="https://www.google.com/maps/dir/?api=1&amp;origin=707%20Pacific%20Street%2C%20Monterey%2C%20CA%2093940&amp;destination=9260%20Castillo%20Drive%2C%20San%20Simeon%2C%20CA%2093452&amp;travelmode=driving&amp;waypoints=Monterey%20Bay%20Whale%20Watch%2C%20Monterey%2C%20CA%7CBixby%20Creek%20Bridge%2C%20CA%7CHurricane%20Point%20View%2C%20CA%7CPfeiffer%20Big%20Sur%20State%20Park%2C%20CA%7CMcWay%20Falls%2C%20CA%7CPiedras%20Blancas%20Elephant%20Seal%20Rookery%2C%20CA" TargetMode="External"/><Relationship Id="rId9" Type="http://schemas.openxmlformats.org/officeDocument/2006/relationships/hyperlink" Target="https://www.google.com/maps/dir/?api=1&amp;origin=14000%20Palawan%20Way%2C%20Marina%20del%20Rey%2C%20CA%2090292&amp;destination=14000%20Palawan%20Way%2C%20Marina%20del%20Rey%2C%20CA%2090292&amp;travelmode=bicycling&amp;waypoints=Santa%20Monica%20Pier%2C%20Santa%20Monica%2C%20CA%7CVenice%20Beach%20Skatepark%2C%20Los%20Angeles%2C%20CA%7CVenice%20Canals%2C%20Los%20Angeles%2C%20CA%7CThird%20Street%20Promenade%2C%20Santa%20Monica%2C%20CA" TargetMode="External"/><Relationship Id="rId5" Type="http://schemas.openxmlformats.org/officeDocument/2006/relationships/hyperlink" Target="https://www.komoot.com/nl-nl/tour/2702548958" TargetMode="External"/><Relationship Id="rId6" Type="http://schemas.openxmlformats.org/officeDocument/2006/relationships/hyperlink" Target="https://www.google.com/maps/dir/?api=1&amp;origin=9260%20Castillo%20Drive%2C%20San%20Simeon%2C%20CA%2093452&amp;destination=180%20Avenue%20of%20Flags%2C%20Buellton%2C%20CA%2093427&amp;travelmode=driving&amp;waypoints=Morro%20Rock%2C%20Morro%20Bay%2C%20CA%7CState%20Street%2C%20Santa%20Barbara%2C%20CA%7CStearns%20Wharf%2C%20Santa%20Barbara%2C%20CA" TargetMode="External"/><Relationship Id="rId7" Type="http://schemas.openxmlformats.org/officeDocument/2006/relationships/hyperlink" Target="https://www.google.com/maps/dir/?api=1&amp;origin=180%20Avenue%20of%20Flags%2C%20Buellton%2C%20CA%2093427&amp;destination=14000%20Palawan%20Way%2C%20Marina%20del%20Rey%2C%20CA%2090292&amp;travelmode=driving&amp;waypoints=Zuma%20Beach%2C%20Malibu%2C%20CA%7CEl%20Matador%20State%20Beach%2C%20Malibu%2C%20CA%7CMalibu%20Pier%2C%20Malibu%2C%20CA%7CVenice%20Beach%2C%20Los%20Angeles%2C%20CA" TargetMode="External"/><Relationship Id="rId8" Type="http://schemas.openxmlformats.org/officeDocument/2006/relationships/hyperlink" Target="https://www.google.com/maps/dir/?api=1&amp;origin=14000%20Palawan%20Way%2C%20Marina%20del%20Rey%2C%20CA%2090292&amp;destination=14000%20Palawan%20Way%2C%20Marina%20del%20Rey%2C%20CA%2090292&amp;travelmode=driving&amp;waypoints=Hollywood%20Walk%20of%20Fame%2C%20Los%20Angeles%2C%20CA%7CTCL%20Chinese%20Theatre%2C%20Los%20Angeles%2C%20CA%7CDolby%20Theatre%2C%20Los%20Angeles%2C%20CA%7CGriffith%20Observatory%2C%20Los%20Angeles%2C%20CA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dir/?api=1&amp;origin=48%2F5%20Rainbow%20Shores%20Drive%2C%20Rainbow%20Beach%20QLD%204581%2C%20Australia&amp;destination=19%20Katharina%20Street%2C%20Noosa%20Heads%20QLD%204567%2C%20Australia&amp;travelmode=driving&amp;waypoints=Noosa%20Main%20Beach%2C%20Noosa%20Heads%20QLD%2C%20Australia" TargetMode="External"/><Relationship Id="rId10" Type="http://schemas.openxmlformats.org/officeDocument/2006/relationships/hyperlink" Target="https://www.google.com/maps/dir/?api=1&amp;origin=48%2F5%20Rainbow%20Shores%20Drive%2C%20Rainbow%20Beach%20QLD%204581%2C%20Australia&amp;destination=48%2F5%20Rainbow%20Shores%20Drive%2C%20Rainbow%20Beach%20QLD%204581%2C%20Australia&amp;travelmode=driving&amp;waypoints=Barnacles%20Dolphin%20Centre%2C%20Tin%20Can%20Bay%20QLD%2C%20Australia%7CRainbow%20Beach%20QLD%2C%20Australia" TargetMode="External"/><Relationship Id="rId13" Type="http://schemas.openxmlformats.org/officeDocument/2006/relationships/hyperlink" Target="https://www.google.com/maps/dir/?api=1&amp;origin=19%20Katharina%20Street%2C%20Noosa%20Heads%20QLD%204567%2C%20Australia&amp;destination=19%20Katharina%20Street%2C%20Noosa%20Heads%20QLD%204567%2C%20Australia&amp;travelmode=walking&amp;waypoints=Noosa%20National%20Park%20Carpark%2C%20Noosa%20Heads%20QLD%2C%20Australia%7CDolphin%20Point%20Lookout%2C%20Noosa%20Heads%20QLD%2C%20Australia%7CLittle%20Cove%20Beach%2C%20Noosa%20Heads%20QLD%2C%20Australia" TargetMode="External"/><Relationship Id="rId12" Type="http://schemas.openxmlformats.org/officeDocument/2006/relationships/hyperlink" Target="https://www.google.com/maps/dir/?api=1&amp;origin=19%20Katharina%20Street%2C%20Noosa%20Heads%20QLD%204567%2C%20Australia&amp;destination=19%20Katharina%20Street%2C%20Noosa%20Heads%20QLD%204567%2C%20Australia&amp;travelmode=driving&amp;waypoints=Habitat%20Noosa%20Everglades%20Eco%20Camp%2C%20Cootharaba%20QLD%2C%20Australia" TargetMode="External"/><Relationship Id="rId15" Type="http://schemas.openxmlformats.org/officeDocument/2006/relationships/hyperlink" Target="https://www.google.com/maps/dir/?api=1&amp;origin=123%20Old%20Peachester%20Road%2C%20Beerwah%20QLD%2C%20Australia&amp;destination=Brisbane%20Airport%20Car%20Rental%20Returns%2C%20Brisbane%20Airport%20QLD%204008%2C%20Australia&amp;travelmode=driving" TargetMode="External"/><Relationship Id="rId14" Type="http://schemas.openxmlformats.org/officeDocument/2006/relationships/hyperlink" Target="https://www.google.com/maps/dir/?api=1&amp;origin=19%20Katharina%20Street%2C%20Noosa%20Heads%20QLD%204567%2C%20Australia&amp;destination=123%20Old%20Peachester%20Road%2C%20Beerwah%20QLD%2C%20Australia&amp;travelmode=driving&amp;waypoints=Montville%20QLD%2C%20Australia%7CMaleny%20QLD%2C%20Australia%7CGlass%20House%20Mountains%20Lookout%2C%20Glass%20House%20Mountains%20QLD%2C%20Australia" TargetMode="External"/><Relationship Id="rId16" Type="http://schemas.openxmlformats.org/officeDocument/2006/relationships/drawing" Target="../drawings/drawing12.xml"/><Relationship Id="rId1" Type="http://schemas.openxmlformats.org/officeDocument/2006/relationships/hyperlink" Target="https://www.google.com/maps/dir/?api=1&amp;origin=1%20Cordelia%20Street%2C%20South%20Brisbane%20QLD%204101%2C%20Australia&amp;destination=1%20Cordelia%20Street%2C%20South%20Brisbane%20QLD%204101%2C%20Australia&amp;travelmode=walking&amp;waypoints=South%20Bank%20Parklands%2C%20Brisbane%20QLD%2C%20Australia%7CClem%20Jones%20Promenade%2C%20South%20Brisbane%20QLD%2C%20Australia" TargetMode="External"/><Relationship Id="rId2" Type="http://schemas.openxmlformats.org/officeDocument/2006/relationships/hyperlink" Target="https://www.google.com/maps/dir/?api=1&amp;origin=1%20Cordelia%20Street%2C%20South%20Brisbane%20QLD%204101%2C%20Australia&amp;destination=1%20Cordelia%20Street%2C%20South%20Brisbane%20QLD%204101%2C%20Australia&amp;travelmode=walking&amp;waypoints=South%20Bank%20Parklands%2C%20Brisbane%20QLD%2C%20Australia%7CStreets%20Beach%2C%20South%20Brisbane%20QLD%2C%20Australia%7CQueensland%20Art%20Gallery%20and%20Gallery%20of%20Modern%20Art%2C%20South%20Brisbane%20QLD%2C%20Australia" TargetMode="External"/><Relationship Id="rId3" Type="http://schemas.openxmlformats.org/officeDocument/2006/relationships/hyperlink" Target="https://www.google.com/maps/dir/?api=1&amp;origin=1%20Cordelia%20Street%2C%20South%20Brisbane%20QLD%204101%2C%20Australia&amp;destination=1%20Cordelia%20Street%2C%20South%20Brisbane%20QLD%204101%2C%20Australia&amp;travelmode=driving&amp;waypoints=Lone%20Pine%20Koala%20Sanctuary%2C%20Fig%20Tree%20Pocket%20QLD%2C%20Australia%7CMount%20Coot-tha%20Summit%20Lookout%2C%20Mount%20Coot-tha%20QLD%2C%20Australia%7CSir%20Thomas%20Brisbane%20Planetarium%2C%20Mount%20Coot-tha%20QLD%2C%20Australia" TargetMode="External"/><Relationship Id="rId4" Type="http://schemas.openxmlformats.org/officeDocument/2006/relationships/hyperlink" Target="https://www.google.com/maps/dir/?api=1&amp;origin=1%20Cordelia%20Street%2C%20South%20Brisbane%20QLD%204101%2C%20Australia&amp;destination=1%20Bundaleer%20Road%2C%20Broken%20Head%20NSW%202481%2C%20Australia&amp;travelmode=driving&amp;waypoints=Burleigh%20Heads%20Beach%2C%20Burleigh%20Heads%20QLD%2C%20Australia%7CBurleigh%20Head%20National%20Park%2C%20Burleigh%20Heads%20QLD%2C%20Australia" TargetMode="External"/><Relationship Id="rId9" Type="http://schemas.openxmlformats.org/officeDocument/2006/relationships/hyperlink" Target="https://www.google.com/maps/dir/?api=1&amp;origin=8%20Canyon%20Parade%2C%20Springbrook%20QLD%204213%2C%20Australia&amp;destination=48%2F5%20Rainbow%20Shores%20Drive%2C%20Rainbow%20Beach%20QLD%204581%2C%20Australia&amp;travelmode=driving" TargetMode="External"/><Relationship Id="rId5" Type="http://schemas.openxmlformats.org/officeDocument/2006/relationships/hyperlink" Target="https://www.google.com/maps/dir/?api=1&amp;origin=1%20Bundaleer%20Road%2C%20Broken%20Head%20NSW%202481%2C%20Australia&amp;destination=1%20Bundaleer%20Road%2C%20Broken%20Head%20NSW%202481%2C%20Australia&amp;travelmode=driving&amp;waypoints=Main%20Beach%2C%20Byron%20Bay%20NSW%2C%20Australia%7CMullumbimby%20NSW%2C%20Australia" TargetMode="External"/><Relationship Id="rId6" Type="http://schemas.openxmlformats.org/officeDocument/2006/relationships/hyperlink" Target="https://www.komoot.com/nl-nl/tour/2798963717" TargetMode="External"/><Relationship Id="rId7" Type="http://schemas.openxmlformats.org/officeDocument/2006/relationships/hyperlink" Target="https://www.google.com/maps/dir/?api=1&amp;origin=1%20Bundaleer%20Road%2C%20Broken%20Head%20NSW%202481%2C%20Australia&amp;destination=1%20Bundaleer%20Road%2C%20Broken%20Head%20NSW%202481%2C%20Australia&amp;travelmode=driving&amp;waypoints=Byron%20Bay%20NSW%2C%20Australia" TargetMode="External"/><Relationship Id="rId8" Type="http://schemas.openxmlformats.org/officeDocument/2006/relationships/hyperlink" Target="https://www.google.com/maps/dir/?api=1&amp;origin=1%20Bundaleer%20Road%2C%20Broken%20Head%20NSW%202481%2C%20Australia&amp;destination=8%20Canyon%20Parade%2C%20Springbrook%20QLD%204213%2C%20Australia&amp;travelmode=driving&amp;waypoints=Natural%20Bridge%2C%20Springbrook%20National%20Park%20QLD%2C%20Australia%7CPurling%20Brook%20Falls%2C%20Springbrook%20QLD%2C%20Australia" TargetMode="External"/></Relationships>
</file>

<file path=xl/worksheets/_rels/sheet1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dir/?api=1&amp;origin=7%20Rykers%20Road%2C%20Cape%20Tribulation%20QLD%204873%2C%20Australia&amp;destination=Eacham%20Close%2C%20Lake%20Eacham%20QLD%204884%2C%20Australia&amp;travelmode=driving&amp;waypoints=Lake%20Barrine%2C%20QLD%2C%20Australia%7CCurtain%20Fig%20Tree%2C%20Yungaburra%20QLD%2C%20Australia%7CMillaa%20Millaa%20Falls%2C%20QLD%2C%20Australia%7CZillie%20Falls%2C%20QLD%2C%20Australia%7CEllinjaa%20Falls%2C%20QLD%2C%20Australia" TargetMode="External"/><Relationship Id="rId10" Type="http://schemas.openxmlformats.org/officeDocument/2006/relationships/hyperlink" Target="https://www.google.com/maps/dir/?api=1&amp;origin=19-37%20Saint%20Crispins%20Avenue%2C%20Port%20Douglas%20QLD%204877%2C%20Australia&amp;destination=7%20Rykers%20Road%2C%20Cape%20Tribulation%20QLD%204873%2C%20Australia&amp;travelmode=driving&amp;waypoints=Coffee%20Works%20Mareeba%2C%20136%20Mason%20Street%2C%20Mareeba%20QLD%204880%2C%20Australia%7CGranite%20Gorge%20Nature%20Park%2C%20Chewko%20Road%2C%20Mareeba%20QLD%2C%20Australia" TargetMode="External"/><Relationship Id="rId13" Type="http://schemas.openxmlformats.org/officeDocument/2006/relationships/hyperlink" Target="https://www.google.com/maps/dir/?api=1&amp;origin=18-26%20Cannon%20Street%2C%20Manunda%20QLD%204870%2C%20Australia&amp;destination=Cairns%20Airport%20Domestic%20Terminal%2C%20Cairns%20Airport%20QLD%204870%2C%20Australia&amp;travelmode=driving" TargetMode="External"/><Relationship Id="rId12" Type="http://schemas.openxmlformats.org/officeDocument/2006/relationships/hyperlink" Target="https://www.google.com/maps/dir/?api=1&amp;origin=Eacham%20Close%2C%20Lake%20Eacham%20QLD%204884%2C%20Australia&amp;destination=18-26%20Cannon%20Street%2C%20Manunda%20QLD%204870%2C%20Australia&amp;travelmode=driving&amp;waypoints=Babinda%20Boulders%2C%20Babinda%20QLD%2C%20Australia%7CJosephine%20Falls%2C%20Wooroonooran%20QLD%2C%20Australia%7CWalshs%20Pyramid%20Lookout%2C%20Gordonvale%20QLD%2C%20Australia%7CKuranda%20Village%2C%20Kuranda%20QLD%2C%20Australia%7CBarron%20Falls%20Lookout%2C%20Kuranda%20QLD%2C%20Australia" TargetMode="External"/><Relationship Id="rId14" Type="http://schemas.openxmlformats.org/officeDocument/2006/relationships/drawing" Target="../drawings/drawing13.xml"/><Relationship Id="rId1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driving&amp;waypoints=Four%20Mile%20Beach%2C%20Port%20Douglas%20QLD%2C%20Australia%7CMacrossan%20Street%2C%20Port%20Douglas%20QLD%2C%20Australia" TargetMode="External"/><Relationship Id="rId2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driving&amp;waypoints=Mossman%20Gorge%20Cultural%20Centre%2C%20Mossman%20Gorge%20QLD%2C%20Australia%7CSilky%20Oaks%20Lodge%2C%20Finlayvale%20Road%2C%20Mossman%20QLD%2C%20Australia" TargetMode="External"/><Relationship Id="rId3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driving&amp;waypoints=Daintree%20Ferry%2C%20Cape%20Tribulation%20Road%2C%20Lower%20Daintree%20QLD%2C%20Australia%7CDaintree%20Rainforest%20Discovery%20Centre%2C%20Cow%20Bay%20QLD%2C%20Australia%7CKulki%20Lookout%2C%20Cape%20Tribulation%20QLD%2C%20Australia%7CCape%20Tribulation%20Beach%2C%20QLD%2C%20Australia" TargetMode="External"/><Relationship Id="rId4" Type="http://schemas.openxmlformats.org/officeDocument/2006/relationships/hyperlink" Target="https://pdyc.org/sailing-port-douglas/" TargetMode="External"/><Relationship Id="rId9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walking&amp;waypoints=Four%20Mile%20Beach%2C%20Port%20Douglas%20QLD%2C%20Australia" TargetMode="External"/><Relationship Id="rId5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driving&amp;waypoints=Crystalbrook%20Superyacht%20Marina%2C%20Wharf%20Street%2C%20Port%20Douglas%20QLD%2C%20Australia%7CPort%20Douglas%20Yacht%20Club%2C%201%20Spinnaker%20Close%2C%20Port%20Douglas%20QLD%2C%20Australia" TargetMode="External"/><Relationship Id="rId6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driving&amp;waypoints=Wildlife%20Habitat%20Port%20Douglas%2C%201%20Port%20Douglas%20Road%2C%20Port%20Douglas%20QLD%2C%20Australia%7CFour%20Mile%20Beach%2C%20Port%20Douglas%20QLD%2C%20Australia%7CMacrossan%20Street%2C%20Port%20Douglas%20QLD%2C%20Australia" TargetMode="External"/><Relationship Id="rId7" Type="http://schemas.openxmlformats.org/officeDocument/2006/relationships/hyperlink" Target="https://www.google.com/maps/dir/?api=1&amp;origin=19-37%20Saint%20Crispins%20Avenue%2C%20Port%20Douglas%20QLD%204877%2C%20Australia&amp;destination=19-37%20Saint%20Crispins%20Avenue%2C%20Port%20Douglas%20QLD%204877%2C%20Australia&amp;travelmode=driving&amp;waypoints=Wildlife%20Habitat%20Port%20Douglas%2C%201%20Port%20Douglas%20Road%2C%20Port%20Douglas%20QLD%2C%20Australia%7CFour%20Mile%20Beach%2C%20Port%20Douglas%20QLD%2C%20Australia%7CMacrossan%20Street%2C%20Port%20Douglas%20QLD%2C%20Australia" TargetMode="External"/><Relationship Id="rId8" Type="http://schemas.openxmlformats.org/officeDocument/2006/relationships/hyperlink" Target="https://backcountrybliss.com.au/tours/river-drift-snorkelling/" TargetMode="External"/></Relationships>
</file>

<file path=xl/worksheets/_rels/sheet14.xml.rels><?xml version="1.0" encoding="UTF-8" standalone="yes"?><Relationships xmlns="http://schemas.openxmlformats.org/package/2006/relationships"><Relationship Id="rId31" Type="http://schemas.openxmlformats.org/officeDocument/2006/relationships/hyperlink" Target="https://www.google.com/maps/dir/?api=1&amp;origin=639%20Lonsdale%20St%2C%20Melbourne%20VIC%203000%2C%20Australia&amp;destination=639%20Lonsdale%20St%2C%20Melbourne%20VIC%203000%2C%20Australia&amp;travelmode=walking&amp;waypoints=Queen%20Victoria%20Market%2C%20Melbourne%20VIC%2C%20Australia%7CHosier%20Lane%2C%20Melbourne%20VIC%2C%20Australia%7CAC%2FDC%20Lane%2C%20Melbourne%20VIC%2C%20Australia%7CFlinders%20Street%20Station%2C%20Melbourne%20VIC%2C%20Australia" TargetMode="External"/><Relationship Id="rId30" Type="http://schemas.openxmlformats.org/officeDocument/2006/relationships/hyperlink" Target="https://www.komoot.com/nl-nl/tour/3192928549?share_token=aXxsZ4xh4f2cbHJ5mcjwqgwY9RyNIfZJCbUx8xh56YyKQ6AGd2&amp;ref=wtd&amp;t_s=referral&amp;t_cid=route_share&amp;t_ref_username=5138285305045" TargetMode="External"/><Relationship Id="rId33" Type="http://schemas.openxmlformats.org/officeDocument/2006/relationships/hyperlink" Target="https://holidayhaven.com.au/bendalong/" TargetMode="External"/><Relationship Id="rId32" Type="http://schemas.openxmlformats.org/officeDocument/2006/relationships/hyperlink" Target="https://www.komoot.com/nl-nl/tour/3192928549" TargetMode="External"/><Relationship Id="rId35" Type="http://schemas.openxmlformats.org/officeDocument/2006/relationships/drawing" Target="../drawings/drawing14.xml"/><Relationship Id="rId34" Type="http://schemas.openxmlformats.org/officeDocument/2006/relationships/hyperlink" Target="https://www.google.com/maps/dir/?api=1&amp;origin=639%20Lonsdale%20St%2C%20Melbourne%20VIC%203000%2C%20Australia&amp;destination=639%20Lonsdale%20St%2C%20Melbourne%20VIC%203000%2C%20Australia&amp;travelmode=driving&amp;waypoints=ACMI%2C%20Federation%20Square%2C%20Melbourne%20VIC%2C%20Australia%7CLuna%20Park%20Melbourne%2C%20Lower%20Esplanade%2C%20St%20Kilda%20VIC%2C%20Australia%7CSt%20Kilda%20Pier%20Penguin%20Viewing%20Platform%2C%20St%20Kilda%20VIC%2C%20Australia" TargetMode="External"/><Relationship Id="rId20" Type="http://schemas.openxmlformats.org/officeDocument/2006/relationships/hyperlink" Target="https://www.google.com/maps/dir/?api=1&amp;origin=30%20Woods%20Point%20Rd%2C%20Warburton%20VIC%203799%2C%20Australia&amp;destination=Lorne%20VIC%203232%2C%20Australia&amp;travelmode=driving&amp;waypoints=Black%20Spur%20Drive%2C%20Narbethong%20VIC%2C%20Australia%7CBells%20Beach%2C%20VIC%2C%20Australia%7CErskine%20Falls%2C%20Lorne%20VIC%2C%20Australia%7CLorne%20Beach%2C%20Lorne%20VIC%2C%20Australia" TargetMode="External"/><Relationship Id="rId22" Type="http://schemas.openxmlformats.org/officeDocument/2006/relationships/hyperlink" Target="https://www.komoot.com/nl-nl/tour/2615914738" TargetMode="External"/><Relationship Id="rId21" Type="http://schemas.openxmlformats.org/officeDocument/2006/relationships/hyperlink" Target="https://www.google.com/maps/dir/?api=1&amp;origin=Lorne%20VIC%203232%2C%20Australia&amp;destination=Bimbi%20Park%2C%2090%20Manna%20Gum%20Drive%2C%20Cape%20Otway%20VIC%203233%2C%20Australia&amp;travelmode=driving&amp;waypoints=Teddy's%20Lookout%2C%20Lorne%20VIC%2C%20Australia%7CKennet%20River%20Nature%20Walk%2C%20Kennett%20River%20VIC%2C%20Australia%7CApollo%20Bay%2C%20VIC%2C%20Australia" TargetMode="External"/><Relationship Id="rId24" Type="http://schemas.openxmlformats.org/officeDocument/2006/relationships/hyperlink" Target="https://www.komoot.com/nl-nl/tour/2615919843" TargetMode="External"/><Relationship Id="rId23" Type="http://schemas.openxmlformats.org/officeDocument/2006/relationships/hyperlink" Target="https://www.google.com/maps/dir/?api=1&amp;origin=Bimbi%20Park%2C%2090%20Manna%20Gum%20Drive%2C%20Cape%20Otway%20VIC%203233%2C%20Australia&amp;destination=Bimbi%20Park%2C%2090%20Manna%20Gum%20Drive%2C%20Cape%20Otway%20VIC%203233%2C%20Australia&amp;travelmode=driving&amp;waypoints=Maits%20Rest%20Rainforest%20Walk%2C%20Cape%20Otway%20VIC%2C%20Australia%7CTwelve%20Apostles%2C%20Port%20Campbell%20National%20Park%20VIC%2C%20Australia%7CCape%20Otway%20Lightstation%2C%20Cape%20Otway%20VIC%2C%20Australia" TargetMode="External"/><Relationship Id="rId26" Type="http://schemas.openxmlformats.org/officeDocument/2006/relationships/hyperlink" Target="https://www.google.com/maps/dir/?api=1&amp;origin=47%20Taylors%20Rd%2C%20Mount%20Macedon%20VIC%203441%2C%20Australia&amp;destination=47%20Taylors%20Rd%2C%20Mount%20Macedon%20VIC%203441%2C%20Australia&amp;travelmode=driving&amp;waypoints=Camels%20Hump%2C%20Mount%20Macedon%20VIC%2C%20Australia%7CMount%20Macedon%20Memorial%20Cross%2C%20Mount%20Macedon%20VIC%2C%20Australia%7CMacedon%20Regional%20Park%2C%20Mount%20Macedon%20VIC%2C%20Australia" TargetMode="External"/><Relationship Id="rId25" Type="http://schemas.openxmlformats.org/officeDocument/2006/relationships/hyperlink" Target="https://www.google.com/maps/dir/?api=1&amp;origin=Bimbi%20Park%2C%2090%20Manna%20Gum%20Drive%2C%20Cape%20Otway%20VIC%203233%2C%20Australia&amp;destination=47%20Taylors%20Rd%2C%20Mount%20Macedon%20VIC%203441%2C%20Australia&amp;travelmode=driving&amp;waypoints=Geelong%20Waterfront%2C%20Geelong%20VIC%2C%20Australia%7CHanging%20Rock%20Reserve%2C%20Woodend%20VIC%2C%20Australia" TargetMode="External"/><Relationship Id="rId28" Type="http://schemas.openxmlformats.org/officeDocument/2006/relationships/hyperlink" Target="https://www.google.com/maps/dir/?api=1&amp;origin=47%20Taylors%20Rd%2C%20Mount%20Macedon%20VIC%203441%2C%20Australia&amp;destination=47%20Taylors%20Rd%2C%20Mount%20Macedon%20VIC%203441%2C%20Australia&amp;travelmode=driving&amp;waypoints=Forest%20Glade%20Gardens%2C%20Mount%20Macedon%20VIC%2C%20Australia%7CCentennial%20Park%2C%20Macedon%20VIC%2C%20Australia%7CStanley%20Park%2C%20Mount%20Macedon%20VIC%2C%20Australia" TargetMode="External"/><Relationship Id="rId27" Type="http://schemas.openxmlformats.org/officeDocument/2006/relationships/hyperlink" Target="https://www.google.com/maps/dir/?api=1&amp;origin=47%20Taylors%20Rd%2C%20Mount%20Macedon%20VIC%203441%2C%20Australia&amp;destination=47%20Taylors%20Rd%2C%20Mount%20Macedon%20VIC%203441%2C%20Australia&amp;travelmode=driving&amp;waypoints=Woodend%20VIC%2C%20Australia%7CHanging%20Rock%20Winery%2C%20Newham%20VIC%2C%20Australia%7CHanging%20Rock%20Reserve%2C%20Woodend%20VIC%2C%20Australia" TargetMode="External"/><Relationship Id="rId29" Type="http://schemas.openxmlformats.org/officeDocument/2006/relationships/hyperlink" Target="https://www.google.com/maps/dir/?api=1&amp;origin=47%20Taylors%20Rd%2C%20Mount%20Macedon%20VIC%203441%2C%20Australia&amp;destination=639%20Lonsdale%20St%2C%20Melbourne%20VIC%203000%2C%20Australia&amp;travelmode=driving&amp;waypoints=Fitzroy%20Gardens%2C%20East%20Melbourne%20VIC%2C%20Australia%7CFederation%20Square%2C%20Melbourne%20VIC%2C%20Australia" TargetMode="External"/><Relationship Id="rId11" Type="http://schemas.openxmlformats.org/officeDocument/2006/relationships/hyperlink" Target="https://www.google.com/maps/dir/?api=1&amp;origin=Discovery%20Parks%20-%20Narooma%20Beach%2C%207323%20Princes%20Hwy%2C%20Narooma%20NSW%202546%2C%20Australia&amp;destination=Discovery%20Parks%20-%20Narooma%20Beach%2C%207323%20Princes%20Hwy%2C%20Narooma%20NSW%202546%2C%20Australia&amp;travelmode=driving&amp;waypoints=Narooma%20Wharf%2C%20Narooma%20NSW%2C%20Australia%7CMill%20Bay%20Boardwalk%2C%20North%20Narooma%20NSW%2C%20Australia%7CTuross%20Inlet%2C%20NSW%2C%20Australia" TargetMode="External"/><Relationship Id="rId10" Type="http://schemas.openxmlformats.org/officeDocument/2006/relationships/hyperlink" Target="https://www.google.com/maps/dir/?api=1&amp;origin=1%20Waratah%20Street%2C%20Bendalong%20NSW%202539%2C%20Australia&amp;destination=Discovery%20Parks%20-%20Narooma%20Beach%2C%207323%20Princes%20Hwy%2C%20Narooma%20NSW%202546%2C%20Australia&amp;travelmode=driving&amp;waypoints=Dolphin%20Point%2C%20NSW%2C%20Australia%7CTuross%20Head%2C%20NSW%2C%20Australia%7CTuross%20Inlet%2C%20NSW%2C%20Australia" TargetMode="External"/><Relationship Id="rId13" Type="http://schemas.openxmlformats.org/officeDocument/2006/relationships/hyperlink" Target="https://www.google.com/maps/dir/?api=1&amp;origin=731%20Princes%20Hwy%2C%20Boydtown%20NSW%202551%2C%20Australia&amp;destination=5353%20Princes%20Highway%2C%20Traralgon%20VIC%203844%2C%20Australia&amp;travelmode=driving&amp;waypoints=Lakes%20Entrance%20Main%20Beach%2C%20Lakes%20Entrance%20VIC%2C%20Australia" TargetMode="External"/><Relationship Id="rId12" Type="http://schemas.openxmlformats.org/officeDocument/2006/relationships/hyperlink" Target="https://www.google.com/maps/dir/?api=1&amp;origin=Discovery%20Parks%20-%20Narooma%20Beach%2C%207323%20Princes%20Hwy%2C%20Narooma%20NSW%202546%2C%20Australia&amp;destination=731%20Princes%20Hwy%2C%20Boydtown%20NSW%202551%2C%20Australia&amp;travelmode=driving&amp;waypoints=Bermagui%20Blue%20Pool%2C%20Bermagui%20NSW%2C%20Australia%7CTathra%20Beach%2C%20Tathra%20NSW%2C%20Australia%7CBar%20Beach%2C%20Merimbula%20NSW%2C%20Australia%7CRotary%20Park%2C%20Eden%20NSW%2C%20Australia" TargetMode="External"/><Relationship Id="rId15" Type="http://schemas.openxmlformats.org/officeDocument/2006/relationships/hyperlink" Target="https://www.komoot.com/nl-nl/tour/2615866530" TargetMode="External"/><Relationship Id="rId14" Type="http://schemas.openxmlformats.org/officeDocument/2006/relationships/hyperlink" Target="https://www.google.com/maps/dir/?api=1&amp;origin=5353%20Princes%20Highway%2C%20Traralgon%20VIC%203844%2C%20Australia&amp;destination=Tidal%20River%20Visitor%20Centre%2C%201%20Ring%20Road%2C%20Tidal%20River%20VIC%203960%2C%20Australia&amp;travelmode=driving&amp;waypoints=Squeaky%20Beach%20Carpark%2C%20Wilsons%20Promontory%20VIC%2C%20Australia%7CTelegraph%20Saddle%20Carpark%2C%20Wilsons%20Promontory%20VIC%2C%20Australia" TargetMode="External"/><Relationship Id="rId17" Type="http://schemas.openxmlformats.org/officeDocument/2006/relationships/hyperlink" Target="https://www.komoot.com/nl-nl/tour/2768887281" TargetMode="External"/><Relationship Id="rId16" Type="http://schemas.openxmlformats.org/officeDocument/2006/relationships/hyperlink" Target="https://www.google.com/maps/dir/?api=1&amp;origin=Tidal%20River%20Visitor%20Centre%2C%201%20Ring%20Road%2C%20Tidal%20River%20VIC%203960%2C%20Australia&amp;destination=Tidal%20River%20Visitor%20Centre%2C%201%20Ring%20Road%2C%20Tidal%20River%20VIC%203960%2C%20Australia&amp;travelmode=driving&amp;waypoints=Lilly%20Pilly%20Gully%20Carpark%2C%20Wilsons%20Promontory%20VIC%2C%20Australia%7CProm%20Wildlife%20Walk%2C%20Wilsons%20Promontory%20VIC%2C%20Australia%7CTidal%20River%20Footbridge%2C%20Wilsons%20Promontory%20VIC%2C%20Australia" TargetMode="External"/><Relationship Id="rId19" Type="http://schemas.openxmlformats.org/officeDocument/2006/relationships/hyperlink" Target="https://www.google.com/maps/dir/?api=1&amp;origin=30%20Woods%20Point%20Rd%2C%20Warburton%20VIC%203799%2C%20Australia&amp;destination=30%20Woods%20Point%20Rd%2C%20Warburton%20VIC%203799%2C%20Australia&amp;travelmode=driving&amp;waypoints=Warburton%20Redwood%20Forest%2C%20Cement%20Creek%20Rd%2C%20East%20Warburton%20VIC%2C%20Australia%7CRainforest%20Gallery%2C%20Mount%20Donna%20Buang%2C%20VIC%2C%20Australia%7CWarburton%20Water%20World%2C%20Warburton%20VIC%2C%20Australia" TargetMode="External"/><Relationship Id="rId18" Type="http://schemas.openxmlformats.org/officeDocument/2006/relationships/hyperlink" Target="https://www.google.com/maps/dir/?api=1&amp;origin=Tidal%20River%20Visitor%20Centre%2C%201%20Ring%20Road%2C%20Tidal%20River%20VIC%203960%2C%20Australia&amp;destination=30%20Woods%20Point%20Rd%2C%20Warburton%20VIC%203799%2C%20Australia&amp;travelmode=driving&amp;waypoints=Rainforest%20Gallery%2C%20Mount%20Donna%20Buang%2C%20VIC%2C%20Australia%7CWarburton%20Water%20World%2C%20Warburton%20VIC%2C%20Australia" TargetMode="External"/><Relationship Id="rId1" Type="http://schemas.openxmlformats.org/officeDocument/2006/relationships/hyperlink" Target="https://www.google.com/maps/dir/?api=1&amp;origin=5%20Milson%20Rd%2C%20Cremorne%20Point%20NSW%202090%2C%20Australia&amp;destination=5%20Milson%20Rd%2C%20Cremorne%20Point%20NSW%202090%2C%20Australia&amp;travelmode=driving&amp;waypoints=Circular%20Quay%2C%20Sydney%20NSW%2C%20Australia%7CSydney%20Opera%20House%2C%20Bennelong%20Point%2C%20Sydney%20NSW%2C%20Australia" TargetMode="External"/><Relationship Id="rId2" Type="http://schemas.openxmlformats.org/officeDocument/2006/relationships/hyperlink" Target="https://www.google.com/maps/dir/?api=1&amp;origin=5%20Milson%20Rd%2C%20Cremorne%20Point%20NSW%202090%2C%20Australia&amp;destination=5%20Milson%20Rd%2C%20Cremorne%20Point%20NSW%202090%2C%20Australia&amp;travelmode=driving&amp;waypoints=Pylon%20Lookout%2C%20Sydney%20Harbour%20Bridge%2C%20The%20Rocks%20NSW%2C%20Australia%7CTaronga%20Zoo%20Sydney%2C%20Bradleys%20Head%20Rd%2C%20Mosman%20NSW%2C%20Australia%7CBondi%20Beach%2C%20NSW%2C%20Australia%7CDarling%20Harbour%2C%20Sydney%20NSW%2C%20Australia" TargetMode="External"/><Relationship Id="rId3" Type="http://schemas.openxmlformats.org/officeDocument/2006/relationships/hyperlink" Target="https://www.google.com/maps/dir/?api=1&amp;origin=5%20Milson%20Rd%2C%20Cremorne%20Point%20NSW%202090%2C%20Australia&amp;destination=5%20Milson%20Rd%2C%20Cremorne%20Point%20NSW%202090%2C%20Australia&amp;travelmode=driving&amp;waypoints=Art%20Gallery%20of%20New%20South%20Wales%2C%20Art%20Gallery%20Rd%2C%20Sydney%20NSW%2C%20Australia%7CBarangaroo%20Reserve%2C%20Hickson%20Rd%2C%20Barangaroo%20NSW%2C%20Australia%7CThe%20Rocks%2C%20Sydney%20NSW%2C%20Australia" TargetMode="External"/><Relationship Id="rId4" Type="http://schemas.openxmlformats.org/officeDocument/2006/relationships/hyperlink" Target="https://www.komoot.com/nl-nl/tour/3109676328" TargetMode="External"/><Relationship Id="rId9" Type="http://schemas.openxmlformats.org/officeDocument/2006/relationships/hyperlink" Target="https://naroomacharters.com.au/snorkelling-with-the-seals" TargetMode="External"/><Relationship Id="rId5" Type="http://schemas.openxmlformats.org/officeDocument/2006/relationships/hyperlink" Target="https://www.google.com/maps/dir/?api=1&amp;origin=5%20Milson%20Rd%2C%20Cremorne%20Point%20NSW%202090%2C%20Australia&amp;destination=5%20Milson%20Rd%2C%20Cremorne%20Point%20NSW%202090%2C%20Australia&amp;travelmode=driving&amp;waypoints=Australian%20Museum%2C%201%20William%20St%2C%20Darlinghurst%20NSW%2C%20Australia%7CMrs%20Macquarie's%20Chair%2C%20Sydney%20NSW%2C%20Australia%7CRoyal%20Botanic%20Garden%20Sydney%2C%20NSW%2C%20Australia" TargetMode="External"/><Relationship Id="rId6" Type="http://schemas.openxmlformats.org/officeDocument/2006/relationships/hyperlink" Target="https://www.google.com/maps/dir/?api=1&amp;origin=5%20Milson%20Rd%2C%20Cremorne%20Point%20NSW%202090%2C%20Australia&amp;destination=1%20Waratah%20Street%2C%20Bendalong%20NSW%202539%2C%20Australia&amp;travelmode=driving&amp;waypoints=Sea%20Cliff%20Bridge%2C%20Clifton%20NSW%2C%20Australia%7CKiama%20Blowhole%2C%20Kiama%20NSW%2C%20Australia%7CHyams%20Beach%2C%20NSW%2C%20Australia" TargetMode="External"/><Relationship Id="rId7" Type="http://schemas.openxmlformats.org/officeDocument/2006/relationships/hyperlink" Target="https://www.google.com/maps/dir/?api=1&amp;origin=1%20Waratah%20Street%2C%20Bendalong%20NSW%202539%2C%20Australia&amp;destination=1%20Waratah%20Street%2C%20Bendalong%20NSW%202539%2C%20Australia&amp;travelmode=driving&amp;waypoints=Huskisson%20Wharf%2C%20Huskisson%20NSW%2C%20Australia%7CGreen%20Patch%2C%20Booderee%20National%20Park%2C%20Jervis%20Bay%20NSW%2C%20Australia%7CMurrays%20Beach%2C%20Jervis%20Bay%20Territory%2C%20Australia" TargetMode="External"/><Relationship Id="rId8" Type="http://schemas.openxmlformats.org/officeDocument/2006/relationships/hyperlink" Target="https://www.google.com/maps/dir/?api=1&amp;origin=1%20Waratah%20Street%2C%20Bendalong%20NSW%202539%2C%20Australia&amp;destination=1%20Waratah%20Street%2C%20Bendalong%20NSW%202539%2C%20Australia&amp;travelmode=driving&amp;waypoints=Bendalong%20Beach%2C%20Bendalong%20NSW%2C%20Australia%7CWasherwomans%20Beach%2C%20Bendalong%20NSW%2C%20Australia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komoot.com/nl-nl/tour/2616132950" TargetMode="External"/><Relationship Id="rId42" Type="http://schemas.openxmlformats.org/officeDocument/2006/relationships/hyperlink" Target="https://www.google.com/maps/dir/?api=1&amp;origin=12%20Waitomo%20Village%20Road%2C%20Waitomo%20Caves%203977%2C%20New%20Zealand&amp;destination=76%20Napier-Taupo%20Road%2C%20Taupo%203330%2C%20New%20Zealand&amp;travelmode=driving&amp;waypoints=Huka%20Falls%2C%20Taupo%2C%20New%20Zealand%7CTaupo%20Boat%20Harbour%2C%20Taupo%2C%20New%20Zealand%7CMaori%20Rock%20Carvings%20Cruise%2C%20Taupo%2C%20New%20Zealand" TargetMode="External"/><Relationship Id="rId41" Type="http://schemas.openxmlformats.org/officeDocument/2006/relationships/hyperlink" Target="https://www.google.com/maps/dir/?api=1&amp;origin=1801%20Mangorei%20Road%2C%20New%20Plymouth%204371%2C%20New%20Zealand&amp;destination=12%20Waitomo%20Village%20Road%2C%20Waitomo%20Caves%203977%2C%20New%20Zealand&amp;travelmode=driving&amp;waypoints=Waitomo%20Glowworm%20Caves%2C%20Waitomo%2C%20New%20Zealand" TargetMode="External"/><Relationship Id="rId44" Type="http://schemas.openxmlformats.org/officeDocument/2006/relationships/hyperlink" Target="https://www.google.com/maps/dir/?api=1&amp;origin=76%20Napier-Taupo%20Road%2C%20Taupo%203330%2C%20New%20Zealand&amp;destination=76%20Napier-Taupo%20Road%2C%20Taupo%203330%2C%20New%20Zealand&amp;travelmode=driving&amp;waypoints=Whakapapa%20Visitor%20Centre%2C%20Tongariro%20National%20Park%2C%20New%20Zealand%7CTaranaki%20Falls%20Track%2C%20Tongariro%20National%20Park%2C%20New%20Zealand%7CMangatepopo%20Car%20Park%2C%20Tongariro%20National%20Park%2C%20New%20Zealand" TargetMode="External"/><Relationship Id="rId43" Type="http://schemas.openxmlformats.org/officeDocument/2006/relationships/hyperlink" Target="https://www.google.com/maps/dir/?api=1&amp;origin=76%20Napier-Taupo%20Road%2C%20Taupo%203330%2C%20New%20Zealand&amp;destination=76%20Napier-Taupo%20Road%2C%20Taupo%203330%2C%20New%20Zealand&amp;travelmode=driving&amp;waypoints=Craters%20of%20the%20Moon%2C%20Taupo%2C%20New%20Zealand%7CAratiatia%20Rapids%2C%20Taupo%2C%20New%20Zealand%7CTaupo%20Lakefront%2C%20Taupo%2C%20New%20Zealand" TargetMode="External"/><Relationship Id="rId46" Type="http://schemas.openxmlformats.org/officeDocument/2006/relationships/hyperlink" Target="https://www.google.com/maps/dir/?api=1&amp;origin=76%20Napier-Taupo%20Road%2C%20Taupo%203330%2C%20New%20Zealand&amp;destination=76%20Napier-Taupo%20Road%2C%20Taupo%203330%2C%20New%20Zealand&amp;travelmode=driving&amp;waypoints=Spa%20Thermal%20Park%2C%20Taupo%2C%20New%20Zealand%7CTaupo%20Lakefront%2C%20Taupo%2C%20New%20Zealand" TargetMode="External"/><Relationship Id="rId45" Type="http://schemas.openxmlformats.org/officeDocument/2006/relationships/hyperlink" Target="https://www.komoot.com/nl-nl/tour/2730441355" TargetMode="External"/><Relationship Id="rId48" Type="http://schemas.openxmlformats.org/officeDocument/2006/relationships/hyperlink" Target="https://www.google.com/maps/dir/?api=1&amp;origin=436%20Ngongotaha%20Road%2C%20Rotorua%203015%2C%20New%20Zealand&amp;destination=436%20Ngongotaha%20Road%2C%20Rotorua%203015%2C%20New%20Zealand&amp;travelmode=driving&amp;waypoints=Redwoods%20Treewalk%2C%20Rotorua%2C%20New%20Zealand%7CPolynesian%20Spa%2C%20Rotorua%2C%20New%20Zealand%7CRotorua%20Lakefront%2C%20Rotorua%2C%20New%20Zealand" TargetMode="External"/><Relationship Id="rId47" Type="http://schemas.openxmlformats.org/officeDocument/2006/relationships/hyperlink" Target="https://www.google.com/maps/dir/?api=1&amp;origin=76%20Napier-Taupo%20Road%2C%20Taupo%203330%2C%20New%20Zealand&amp;destination=436%20Ngongotaha%20Road%2C%20Rotorua%203015%2C%20New%20Zealand&amp;travelmode=driving&amp;waypoints=Wai-O-Tapu%20Thermal%20Wonderland%2C%20Rotorua%2C%20New%20Zealand%7CTe%20Puia%2C%20Hemo%20Road%2C%20Rotorua%2C%20New%20Zealand" TargetMode="External"/><Relationship Id="rId49" Type="http://schemas.openxmlformats.org/officeDocument/2006/relationships/hyperlink" Target="https://www.riversideadventures.co.nz/daytime-canyon-kayak-tour/" TargetMode="External"/><Relationship Id="rId31" Type="http://schemas.openxmlformats.org/officeDocument/2006/relationships/hyperlink" Target="https://www.google.com/maps/dir/?api=1&amp;origin=14%20Harvey%20Road%2C%20Marahau%207197%2C%20New%20Zealand&amp;destination=40%20Ruataniwha%20Drive%2C%20Collingwood%207073%2C%20New%20Zealand&amp;travelmode=driving&amp;waypoints=Paines%20Ford%20Scenic%20Reserve%2C%20Takaka%2C%20New%20Zealand%7CLabyrinth%20Rocks%2C%20Takaka%2C%20New%20Zealand%7CPohara%20Beach%2C%20Pohara%2C%20New%20Zealand%7CTe%20Waikoropupu%20Springs%2C%20Takaka%2C%20New%20Zealand" TargetMode="External"/><Relationship Id="rId30" Type="http://schemas.openxmlformats.org/officeDocument/2006/relationships/hyperlink" Target="https://www.google.com/maps/dir/?api=1&amp;origin=14%20Harvey%20Road%2C%20Marahau%207197%2C%20New%20Zealand&amp;destination=14%20Harvey%20Road%2C%20Marahau%207197%2C%20New%20Zealand&amp;travelmode=walking&amp;waypoints=Abel%20Tasman%20AquaTaxi%2C%20Marahau%2C%20New%20Zealand%7CAbel%20Tasman%20Coast%20Track%20Marahau%20Entrance%2C%20Marahau%2C%20New%20Zealand" TargetMode="External"/><Relationship Id="rId33" Type="http://schemas.openxmlformats.org/officeDocument/2006/relationships/hyperlink" Target="https://www.google.com/maps/dir/?api=1&amp;origin=40%20Ruataniwha%20Drive%2C%20Collingwood%207073%2C%20New%20Zealand&amp;destination=40%20Ruataniwha%20Drive%2C%20Collingwood%207073%2C%20New%20Zealand&amp;travelmode=driving&amp;waypoints=Golden%20Bay%20Kayaks%2C%2029%20Cornwall%20Place%2C%20Tata%20Beach%2C%20New%20Zealand%7CWainui%20Bay%2C%20Tasman%2C%20New%20Zealand%7CPohara%20Beach%2C%20Pohara%2C%20New%20Zealand" TargetMode="External"/><Relationship Id="rId32" Type="http://schemas.openxmlformats.org/officeDocument/2006/relationships/hyperlink" Target="https://www.goldenbaykayaks.co.nz/guided-kayak-tour-options" TargetMode="External"/><Relationship Id="rId35" Type="http://schemas.openxmlformats.org/officeDocument/2006/relationships/hyperlink" Target="https://www.komoot.com/nl-nl/tour/2617944045" TargetMode="External"/><Relationship Id="rId34" Type="http://schemas.openxmlformats.org/officeDocument/2006/relationships/hyperlink" Target="https://www.google.com/maps/dir/?api=1&amp;origin=40%20Ruataniwha%20Drive%2C%20Collingwood%207073%2C%20New%20Zealand&amp;destination=113%20High%20Street%2C%20Picton%207220%2C%20New%20Zealand&amp;travelmode=driving&amp;waypoints=Nelson%2C%20New%20Zealand%7CPelorus%20Bridge%20Scenic%20Reserve%2C%20New%20Zealand%7CPicton%20Waterfront%2C%20Picton%2C%20New%20Zealand" TargetMode="External"/><Relationship Id="rId37" Type="http://schemas.openxmlformats.org/officeDocument/2006/relationships/hyperlink" Target="https://www.google.com/maps/dir/?api=1&amp;origin=Wellington%20CBD%2C%20Wellington%206011%2C%20New%20Zealand&amp;destination=Wellington%20CBD%2C%20Wellington%206011%2C%20New%20Zealand&amp;travelmode=driving&amp;waypoints=Museum%20of%20New%20Zealand%20Te%20Papa%20Tongarewa%2C%20Wellington%2C%20New%20Zealand%7CWellington%20Cable%20Car%2C%20Lambton%20Quay%2C%20Wellington%2C%20New%20Zealand%7CMount%20Victoria%20Lookout%2C%20Wellington%2C%20New%20Zealand%7COriental%20Bay%2C%20Wellington%2C%20New%20Zealand" TargetMode="External"/><Relationship Id="rId36" Type="http://schemas.openxmlformats.org/officeDocument/2006/relationships/hyperlink" Target="https://www.google.com/maps/dir/?api=1&amp;origin=113%20High%20Street%2C%20Picton%207220%2C%20New%20Zealand&amp;destination=Wellington%20CBD%2C%20Wellington%206011%2C%20New%20Zealand&amp;travelmode=driving&amp;waypoints=Interislander%20Vehicle%20Check-In%2C%20Lagoon%20Road%2C%20Picton%2C%20New%20Zealand%7CInterislander%20Wellington%20Terminal%2C%20Kaiwharawhara%2C%20Wellington%2C%20New%20Zealand" TargetMode="External"/><Relationship Id="rId39" Type="http://schemas.openxmlformats.org/officeDocument/2006/relationships/hyperlink" Target="https://www.google.com/maps/dir/?api=1&amp;origin=1801%20Mangorei%20Road%2C%20New%20Plymouth%204371%2C%20New%20Zealand&amp;destination=1801%20Mangorei%20Road%2C%20New%20Plymouth%204371%2C%20New%20Zealand&amp;travelmode=driving&amp;waypoints=Dawson%20Falls%20Visitor%20Centre%2C%20Egmont%20National%20Park%2C%20New%20Zealand%7CWilkies%20Pools%20Loop%20Track%2C%20Egmont%20National%20Park%2C%20New%20Zealand%7CNorth%20Egmont%20Visitor%20Centre%2C%20New%20Zealand%7CLake%20Mangamahoe%2C%20New%20Plymouth%2C%20New%20Zealand" TargetMode="External"/><Relationship Id="rId38" Type="http://schemas.openxmlformats.org/officeDocument/2006/relationships/hyperlink" Target="https://www.google.com/maps/dir/?api=1&amp;origin=Wellington%20CBD%2C%20Wellington%206011%2C%20New%20Zealand&amp;destination=1801%20Mangorei%20Road%2C%20New%20Plymouth%204371%2C%20New%20Zealand&amp;travelmode=driving&amp;waypoints=Whanganui%20Riverfront%2C%20Whanganui%2C%20New%20Zealand%7CStratford%20Glockenspiel%2C%20Stratford%2C%20New%20Zealand" TargetMode="External"/><Relationship Id="rId20" Type="http://schemas.openxmlformats.org/officeDocument/2006/relationships/hyperlink" Target="https://www.komoot.com/nl-nl/tour/2617913044" TargetMode="External"/><Relationship Id="rId22" Type="http://schemas.openxmlformats.org/officeDocument/2006/relationships/hyperlink" Target="https://www.komoot.com/nl-nl/tour/2616272589" TargetMode="External"/><Relationship Id="rId21" Type="http://schemas.openxmlformats.org/officeDocument/2006/relationships/hyperlink" Target="https://www.google.com/maps/dir/?api=1&amp;origin=46%20Cron%20Street%2C%20Franz%20Josef%207886%2C%20New%20Zealand&amp;destination=46%20Cron%20Street%2C%20Franz%20Josef%207886%2C%20New%20Zealand&amp;travelmode=driving&amp;waypoints=Franz%20Josef%20Glacier%20Walk%2C%20Franz%20Josef%2C%20New%20Zealand%7CWaiho%20Hot%20Tubs%2C%2064B%20Cron%20Street%2C%20Franz%20Josef%2C%20New%20Zealand" TargetMode="External"/><Relationship Id="rId24" Type="http://schemas.openxmlformats.org/officeDocument/2006/relationships/hyperlink" Target="https://www.google.com/maps/dir/?api=1&amp;origin=46%20Cron%20Street%2C%20Franz%20Josef%207886%2C%20New%20Zealand&amp;destination=Mabel%20Street%2C%20Punakaiki%207873%2C%20New%20Zealand&amp;travelmode=driving&amp;waypoints=Hokitika%20Beach%2C%20Hokitika%2C%20New%20Zealand%7CPancake%20Rocks%20and%20Blowholes%2C%20Punakaiki%2C%20New%20Zealand%7CPororari%20River%20Track%2C%20Punakaiki%2C%20New%20Zealand" TargetMode="External"/><Relationship Id="rId23" Type="http://schemas.openxmlformats.org/officeDocument/2006/relationships/hyperlink" Target="https://riverkayaking.co.nz/" TargetMode="External"/><Relationship Id="rId26" Type="http://schemas.openxmlformats.org/officeDocument/2006/relationships/hyperlink" Target="https://www.google.com/maps/dir/?api=1&amp;origin=Mabel%20Street%2C%20Punakaiki%207873%2C%20New%20Zealand&amp;destination=14%20Harvey%20Road%2C%20Marahau%207197%2C%20New%20Zealand&amp;travelmode=driving&amp;waypoints=Nelson%2C%20New%20Zealand%7CKaiteriteri%20Beach%2C%20Kaiteriteri%2C%20New%20Zealand%7CMarahau%20Beach%2C%20Marahau%2C%20New%20Zealand" TargetMode="External"/><Relationship Id="rId25" Type="http://schemas.openxmlformats.org/officeDocument/2006/relationships/hyperlink" Target="https://www.komoot.com/nl-nl/tour/2617932341" TargetMode="External"/><Relationship Id="rId28" Type="http://schemas.openxmlformats.org/officeDocument/2006/relationships/hyperlink" Target="https://www.google.com/maps/dir/?api=1&amp;origin=14%20Harvey%20Road%2C%20Marahau%207197%2C%20New%20Zealand&amp;destination=14%20Harvey%20Road%2C%20Marahau%207197%2C%20New%20Zealand&amp;travelmode=walking&amp;waypoints=Abel%20Tasman%20Coast%20Track%20Marahau%20Entrance%2C%20Marahau%2C%20New%20Zealand%7CAbel%20Tasman%20AquaTaxi%2C%20Marahau%2C%20New%20Zealand" TargetMode="External"/><Relationship Id="rId27" Type="http://schemas.openxmlformats.org/officeDocument/2006/relationships/hyperlink" Target="https://www.komoot.com/nl-nl/tour/2617924397" TargetMode="External"/><Relationship Id="rId29" Type="http://schemas.openxmlformats.org/officeDocument/2006/relationships/hyperlink" Target="https://www.komoot.com/nl-nl/tour/2711227413" TargetMode="External"/><Relationship Id="rId11" Type="http://schemas.openxmlformats.org/officeDocument/2006/relationships/hyperlink" Target="https://www.google.com/maps/dir/?api=1&amp;origin=77%20Te%20Anau-Manapouri%20Highway%2C%20Te%20Anau%209640%2C%20New%20Zealand&amp;destination=77%20Te%20Anau-Manapouri%20Highway%2C%20Te%20Anau%209640%2C%20New%20Zealand&amp;travelmode=driving&amp;waypoints=Milford%20Sound%20Visitor%20Terminal%2C%20Milford%20Sound%2C%20New%20Zealand%7CThe%20Divide%20Shelter%2C%20Milford%20Road%2C%20Fiordland%20National%20Park%2C%20New%20Zealand%7CMirror%20Lakes%2C%20Milford%20Road%2C%20New%20Zealand" TargetMode="External"/><Relationship Id="rId10" Type="http://schemas.openxmlformats.org/officeDocument/2006/relationships/hyperlink" Target="https://www.komoot.com/nl-nl/tour/2783334098" TargetMode="External"/><Relationship Id="rId13" Type="http://schemas.openxmlformats.org/officeDocument/2006/relationships/hyperlink" Target="https://www.google.com/maps/dir/?api=1&amp;origin=77%20Te%20Anau-Manapouri%20Highway%2C%20Te%20Anau%209640%2C%20New%20Zealand&amp;destination=4%20Cemetery%20Road%2C%20Queenstown%209300%2C%20New%20Zealand&amp;travelmode=driving&amp;waypoints=Kingston%2C%20New%20Zealand%7CDevils%20Staircase%20Lookout%20Point%2C%20Lake%20Wakatipu%2C%20New%20Zealand%7CQueenstown%20Bay%20Beach%2C%20Queenstown%2C%20New%20Zealand" TargetMode="External"/><Relationship Id="rId12" Type="http://schemas.openxmlformats.org/officeDocument/2006/relationships/hyperlink" Target="https://www.komoot.com/nl-nl/tour/2783218665" TargetMode="External"/><Relationship Id="rId15" Type="http://schemas.openxmlformats.org/officeDocument/2006/relationships/hyperlink" Target="https://www.komoot.com/nl-nl/tour/2617889552" TargetMode="External"/><Relationship Id="rId14" Type="http://schemas.openxmlformats.org/officeDocument/2006/relationships/hyperlink" Target="https://www.google.com/maps/dir/?api=1&amp;origin=4%20Cemetery%20Road%2C%20Queenstown%209300%2C%20New%20Zealand&amp;destination=4%20Cemetery%20Road%2C%20Queenstown%209300%2C%20New%20Zealand&amp;travelmode=driving&amp;waypoints=Skyline%20Queenstown%2C%20Queenstown%2C%20New%20Zealand%7CShotover%20Jet%2C%20Arthurs%20Point%2C%20New%20Zealand%7CGibbston%20Valley%20Winery%2C%20Gibbston%2C%20New%20Zealand%7CQueenstown%20Bay%20Beach%2C%20Queenstown%2C%20New%20Zealand" TargetMode="External"/><Relationship Id="rId17" Type="http://schemas.openxmlformats.org/officeDocument/2006/relationships/hyperlink" Target="https://www.google.com/maps/dir/?api=1&amp;origin=19A%20Kidds%20Way%2C%20Albert%20Town%209305%2C%20New%20Zealand&amp;destination=19A%20Kidds%20Way%2C%20Albert%20Town%209305%2C%20New%20Zealand&amp;travelmode=driving&amp;waypoints=Diamond%20Lake%20Conservation%20Area%2C%20Wanaka%2C%20New%20Zealand%7CLake%20Wanaka%2C%20Wanaka%2C%20New%20Zealand%7CWanaka%20Lakefront%2C%20Wanaka%2C%20New%20Zealand" TargetMode="External"/><Relationship Id="rId16" Type="http://schemas.openxmlformats.org/officeDocument/2006/relationships/hyperlink" Target="https://www.google.com/maps/dir/?api=1&amp;origin=4%20Cemetery%20Road%2C%20Queenstown%209300%2C%20New%20Zealand&amp;destination=19A%20Kidds%20Way%2C%20Albert%20Town%209305%2C%20New%20Zealand&amp;travelmode=driving&amp;waypoints=Crown%20Range%20Summit%2C%20Crown%20Range%20Road%2C%20New%20Zealand%7CThat%20Wanaka%20Tree%2C%20Wanaka%2C%20New%20Zealand%7CDiamond%20Lake%20Conservation%20Area%2C%20Wanaka%2C%20New%20Zealand" TargetMode="External"/><Relationship Id="rId19" Type="http://schemas.openxmlformats.org/officeDocument/2006/relationships/hyperlink" Target="https://www.google.com/maps/dir/?api=1&amp;origin=19A%20Kidds%20Way%2C%20Albert%20Town%209305%2C%20New%20Zealand&amp;destination=46%20Cron%20Street%2C%20Franz%20Josef%207886%2C%20New%20Zealand&amp;travelmode=driving&amp;waypoints=Blue%20Pools%20Track%2C%20Haast%20Pass%20Highway%2C%20New%20Zealand%7CFantail%20Falls%2C%20Haast%20Pass%2C%20New%20Zealand%7CThunder%20Creek%20Falls%2C%20Haast%20Pass%20Highway%2C%20New%20Zealand" TargetMode="External"/><Relationship Id="rId18" Type="http://schemas.openxmlformats.org/officeDocument/2006/relationships/hyperlink" Target="https://www.komoot.com/nl-nl/tour/2616240586" TargetMode="External"/><Relationship Id="rId1" Type="http://schemas.openxmlformats.org/officeDocument/2006/relationships/hyperlink" Target="https://www.google.com/maps/dir/?api=1&amp;origin=176%20Manchester%20Street%2C%20Apartment%20107%2C%20Christchurch%208011%2C%20New%20Zealand&amp;destination=176%20Manchester%20Street%2C%20Apartment%20107%2C%20Christchurch%208011%2C%20New%20Zealand&amp;travelmode=walking&amp;waypoints=Riverside%20Market%2C%20Christchurch%2C%20New%20Zealand%7CBridge%20of%20Remembrance%2C%20Christchurch%2C%20New%20Zealand%7CNew%20Regent%20Street%2C%20Christchurch%2C%20New%20Zealand" TargetMode="External"/><Relationship Id="rId2" Type="http://schemas.openxmlformats.org/officeDocument/2006/relationships/hyperlink" Target="https://www.google.com/maps/dir/?api=1&amp;origin=176%20Manchester%20Street%2C%20Apartment%20107%2C%20Christchurch%208011%2C%20New%20Zealand&amp;destination=176%20Manchester%20Street%2C%20Apartment%20107%2C%20Christchurch%208011%2C%20New%20Zealand&amp;travelmode=driving&amp;waypoints=Christchurch%20Botanic%20Gardens%2C%20Christchurch%2C%20New%20Zealand%7CAvon%20River%20Precinct%2C%20Christchurch%2C%20New%20Zealand%7CQuake%20City%2C%20299%20Durham%20Street%20North%2C%20Christchurch%2C%20New%20Zealand%7CChristchurch%20Street%20Art%20Trail%2C%20Christchurch%2C%20New%20Zealand" TargetMode="External"/><Relationship Id="rId3" Type="http://schemas.openxmlformats.org/officeDocument/2006/relationships/hyperlink" Target="https://www.google.com/maps/dir/?api=1&amp;origin=176%20Manchester%20Street%2C%20Apartment%20107%2C%20Christchurch%208011%2C%20New%20Zealand&amp;destination=176%20Manchester%20Street%2C%20Apartment%20107%2C%20Christchurch%208011%2C%20New%20Zealand&amp;travelmode=driving&amp;waypoints=Akaroa%20Lighthouse%2C%20Akaroa%2C%20New%20Zealand%7CAkaroa%20Main%20Wharf%2C%20Akaroa%2C%20New%20Zealand%7CAkaroa%2C%20New%20Zealand" TargetMode="External"/><Relationship Id="rId4" Type="http://schemas.openxmlformats.org/officeDocument/2006/relationships/hyperlink" Target="https://www.google.com/maps/dir/?api=1&amp;origin=176%20Manchester%20Street%2C%20Apartment%20107%2C%20Christchurch%208011%2C%20New%20Zealand&amp;destination=Irishman%20Creek%20Station%2C%20State%20Highway%208%2C%20Lake%20Tekapo%207999%2C%20New%20Zealand&amp;travelmode=driving&amp;waypoints=Church%20of%20the%20Good%20Shepherd%2C%20Lake%20Tekapo%2C%20New%20Zealand%7CTekapo%20Springs%2C%20Lake%20Tekapo%2C%20New%20Zealand%7CMt%20John%20Observatory%2C%20Lake%20Tekapo%2C%20New%20Zealand" TargetMode="External"/><Relationship Id="rId9" Type="http://schemas.openxmlformats.org/officeDocument/2006/relationships/hyperlink" Target="https://www.google.com/maps/dir/?api=1&amp;origin=114%20Wansbeck%20Street%2C%20Oamaru%209401%2C%20New%20Zealand&amp;destination=77%20Te%20Anau-Manapouri%20Highway%2C%20Te%20Anau%209640%2C%20New%20Zealand&amp;travelmode=driving&amp;waypoints=Dunedin%20Railway%20Station%2C%20Dunedin%2C%20New%20Zealand%7CLake%20Te%20Anau%2C%20Te%20Anau%2C%20New%20Zealand" TargetMode="External"/><Relationship Id="rId5" Type="http://schemas.openxmlformats.org/officeDocument/2006/relationships/hyperlink" Target="https://www.komoot.com/nl-nl/tour/2617940841" TargetMode="External"/><Relationship Id="rId6" Type="http://schemas.openxmlformats.org/officeDocument/2006/relationships/hyperlink" Target="https://www.google.com/maps/dir/?api=1&amp;origin=Irishman%20Creek%20Station%2C%20State%20Highway%208%2C%20Lake%20Tekapo%207999%2C%20New%20Zealand&amp;destination=Mt%20Cook%20Lodge%2C%20Aoraki%20Mount%20Cook%20Village%2C%20New%20Zealand&amp;travelmode=driving&amp;waypoints=Peters%20Lookout%2C%20Lake%20Pukaki%2C%20New%20Zealand%7CWhite%20Horse%20Hill%20Car%20Park%2C%20Aoraki%20Mount%20Cook%20National%20Park%2C%20New%20Zealand%7CHooker%20Valley%20Track%2C%20Aoraki%20Mount%20Cook%20National%20Park%2C%20New%20Zealand" TargetMode="External"/><Relationship Id="rId7" Type="http://schemas.openxmlformats.org/officeDocument/2006/relationships/hyperlink" Target="https://www.komoot.com/nl-nl/tour/2617818404" TargetMode="External"/><Relationship Id="rId8" Type="http://schemas.openxmlformats.org/officeDocument/2006/relationships/hyperlink" Target="https://www.google.com/maps/dir/?api=1&amp;origin=Mt%20Cook%20Lodge%2C%20Aoraki%20Mount%20Cook%20Village%2C%20New%20Zealand&amp;destination=114%20Wansbeck%20Street%2C%20Oamaru%209401%2C%20New%20Zealand&amp;travelmode=driving&amp;waypoints=Oamaru%20Victorian%20Precinct%2C%20Oamaru%2C%20New%20Zealand%7CMoeraki%20Boulders%20Beach%2C%20Moeraki%2C%20New%20Zealand" TargetMode="External"/><Relationship Id="rId60" Type="http://schemas.openxmlformats.org/officeDocument/2006/relationships/drawing" Target="../drawings/drawing15.xml"/><Relationship Id="rId51" Type="http://schemas.openxmlformats.org/officeDocument/2006/relationships/hyperlink" Target="https://www.haheiholidays.co.nz/" TargetMode="External"/><Relationship Id="rId50" Type="http://schemas.openxmlformats.org/officeDocument/2006/relationships/hyperlink" Target="https://www.google.com/maps/dir/?api=1&amp;origin=436%20Ngongotaha%20Road%2C%20Rotorua%203015%2C%20New%20Zealand&amp;destination=790%20Hot%20Water%20Beach%20Road%2C%20Whitianga%203591%2C%20New%20Zealand&amp;travelmode=driving&amp;waypoints=Blue%20Spring%20Te%20Waihou%20Walkway%2C%20Leslie%20Road%2C%20Putaruru%2C%20New%20Zealand%7CRiverside%20Adventures%20Waikato%2C%20396%20Horahora%20Road%2C%20Piarere%2C%20New%20Zealand" TargetMode="External"/><Relationship Id="rId53" Type="http://schemas.openxmlformats.org/officeDocument/2006/relationships/hyperlink" Target="https://www.komoot.com/nl-nl/tour/2616122360" TargetMode="External"/><Relationship Id="rId52" Type="http://schemas.openxmlformats.org/officeDocument/2006/relationships/hyperlink" Target="https://www.google.com/maps/dir/?api=1&amp;origin=790%20Hot%20Water%20Beach%20Road%2C%20Whitianga%203591%2C%20New%20Zealand&amp;destination=790%20Hot%20Water%20Beach%20Road%2C%20Whitianga%203591%2C%20New%20Zealand&amp;travelmode=driving&amp;waypoints=Hot%20Water%20Beach%2C%20Waikato%2C%20New%20Zealand%7CCathedral%20Cove%20Gateway%20Trail%2C%20150%20Lees%20Road%2C%20Hahei%2C%20New%20Zealand%7CHahei%20Beach%2C%20Hahei%2C%20New%20Zealand" TargetMode="External"/><Relationship Id="rId55" Type="http://schemas.openxmlformats.org/officeDocument/2006/relationships/hyperlink" Target="https://www.google.com/maps/dir/?api=1&amp;origin=790%20Hot%20Water%20Beach%20Road%2C%20Whitianga%203591%2C%20New%20Zealand&amp;destination=790%20Hot%20Water%20Beach%20Road%2C%20Whitianga%203591%2C%20New%20Zealand&amp;travelmode=driving&amp;waypoints=Whitianga%20Wharf%2C%20Whitianga%2C%20New%20Zealand%7CKuaotunu%20Beach%2C%20Waikato%2C%20New%20Zealand%7CNew%20Chums%20Beach%20Track%2C%20Whangapoua%2C%20New%20Zealand%7CCoromandel%20Town%2C%20New%20Zealand" TargetMode="External"/><Relationship Id="rId54" Type="http://schemas.openxmlformats.org/officeDocument/2006/relationships/hyperlink" Target="https://www.google.com/maps/dir/?api=1&amp;origin=790%20Hot%20Water%20Beach%20Road%2C%20Whitianga%203591%2C%20New%20Zealand&amp;destination=790%20Hot%20Water%20Beach%20Road%2C%20Whitianga%203591%2C%20New%20Zealand&amp;travelmode=driving&amp;waypoints=Hahei%20Beach%2C%20Hahei%2C%20New%20Zealand%7CCooks%20Beach%2C%20Waikato%2C%20New%20Zealand%7CShakespeare%20Cliff%20Lookout%2C%20Cooks%20Beach%2C%20New%20Zealand" TargetMode="External"/><Relationship Id="rId57" Type="http://schemas.openxmlformats.org/officeDocument/2006/relationships/hyperlink" Target="https://www.google.com/maps/dir/?api=1&amp;origin=790%20Hot%20Water%20Beach%20Road%2C%20Whitianga%203591%2C%20New%20Zealand&amp;destination=71%20Mayoral%20Drive%2C%20corner%20Vincent%20Street%2C%20Auckland%201010%2C%20New%20Zealand&amp;travelmode=driving&amp;waypoints=Thames%2C%20New%20Zealand%7CMount%20Eden%20Summit%2C%20Auckland%2C%20New%20Zealand%7CViaduct%20Harbour%2C%20Auckland%2C%20New%20Zealand" TargetMode="External"/><Relationship Id="rId56" Type="http://schemas.openxmlformats.org/officeDocument/2006/relationships/hyperlink" Target="https://www.google.com/maps/dir/?api=1&amp;origin=790%20Hot%20Water%20Beach%20Road%2C%20Whitianga%203591%2C%20New%20Zealand&amp;destination=790%20Hot%20Water%20Beach%20Road%2C%20Whitianga%203591%2C%20New%20Zealand&amp;travelmode=driving&amp;waypoints=Hot%20Water%20Beach%2C%20Waikato%2C%20New%20Zealand" TargetMode="External"/><Relationship Id="rId59" Type="http://schemas.openxmlformats.org/officeDocument/2006/relationships/hyperlink" Target="https://www.google.com/maps/dir/?api=1&amp;origin=71%20Mayoral%20Drive%2C%20corner%20Vincent%20Street%2C%20Auckland%201010%2C%20New%20Zealand&amp;destination=Auckland%20Airport%20International%20Terminal%2C%20Auckland%2C%20New%20Zealand&amp;travelmode=driving" TargetMode="External"/><Relationship Id="rId58" Type="http://schemas.openxmlformats.org/officeDocument/2006/relationships/hyperlink" Target="https://www.google.com/maps/dir/?api=1&amp;origin=71%20Mayoral%20Drive%2C%20corner%20Vincent%20Street%2C%20Auckland%201010%2C%20New%20Zealand&amp;destination=71%20Mayoral%20Drive%2C%20corner%20Vincent%20Street%2C%20Auckland%201010%2C%20New%20Zealand&amp;travelmode=driving&amp;waypoints=Sky%20Tower%2C%20Auckland%2C%20New%20Zealand%7CAuckland%20War%20Memorial%20Museum%2C%20Auckland%2C%20New%20Zealand%7CMount%20Eden%20Summit%2C%20Auckland%2C%20New%20Zealand%7CViaduct%20Harbour%2C%20Auckland%2C%20New%20Zealand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wsentosa.com/en/play/universal-studios-singapore" TargetMode="External"/><Relationship Id="rId2" Type="http://schemas.openxmlformats.org/officeDocument/2006/relationships/hyperlink" Target="https://www.google.com/maps/dir/?api=1&amp;origin=Grand%20Copthorne%20Waterfront%20Singapore%2C%20392%20Havelock%20Road%2C%20Singapore%20169663&amp;destination=Grand%20Copthorne%20Waterfront%20Singapore%2C%20392%20Havelock%20Road%2C%20Singapore%20169663&amp;travelmode=walking&amp;waypoints=Robertson%20Quay%2C%20Singapore%7CSingapore%20River%20Promenade%2C%20Singapore%7CClarke%20Quay%2C%20Singapore" TargetMode="External"/><Relationship Id="rId3" Type="http://schemas.openxmlformats.org/officeDocument/2006/relationships/hyperlink" Target="https://www.rwsentosa.com/en/play/universal-studios-singapore" TargetMode="External"/><Relationship Id="rId4" Type="http://schemas.openxmlformats.org/officeDocument/2006/relationships/hyperlink" Target="https://www.google.com/maps/dir/?api=1&amp;origin=Grand%20Copthorne%20Waterfront%20Singapore%2C%20392%20Havelock%20Road%2C%20Singapore%20169663&amp;destination=Grand%20Copthorne%20Waterfront%20Singapore%2C%20392%20Havelock%20Road%2C%20Singapore%20169663&amp;travelmode=driving&amp;waypoints=Singapore%20River%20Cruise%2C%20Clarke%20Quay%20Jetty%2C%20Singapore%7CMerlion%20Park%2C%20Singapore%7CLau%20Pa%20Sat%2C%2018%20Raffles%20Quay%2C%20Singapore%7CMarina%20Bay%20Sands%20SkyPark%20Observation%20Deck%2C%20Singapore%7CFlower%20Dome%2C%20Gardens%20by%20the%20Bay%2C%20Singapore%7CCloud%20Forest%2C%20Gardens%20by%20the%20Bay%2C%20Singapore%7CFar%20East%20Organization%20Children's%20Garden%2C%20Singapore%7CSupertree%20Grove%2C%20Singapore" TargetMode="External"/><Relationship Id="rId9" Type="http://schemas.openxmlformats.org/officeDocument/2006/relationships/drawing" Target="../drawings/drawing16.xml"/><Relationship Id="rId5" Type="http://schemas.openxmlformats.org/officeDocument/2006/relationships/hyperlink" Target="https://www.mandai.com/en/discover-mandai.html" TargetMode="External"/><Relationship Id="rId6" Type="http://schemas.openxmlformats.org/officeDocument/2006/relationships/hyperlink" Target="https://www.google.com/maps/dir/?api=1&amp;origin=Grand%20Copthorne%20Waterfront%20Singapore%2C%20392%20Havelock%20Road%2C%20Singapore%20169663&amp;destination=Grand%20Copthorne%20Waterfront%20Singapore%2C%20392%20Havelock%20Road%2C%20Singapore%20169663&amp;travelmode=driving&amp;waypoints=Singapore%20Zoo%2C%2080%20Mandai%20Lake%20Road%2C%20Singapore%20729826%7CRiver%20Wonders%2C%2080%20Mandai%20Lake%20Road%2C%20Singapore%20729826%7CGrand%20Copthorne%20Waterfront%20Singapore%2C%20392%20Havelock%20Road%2C%20Singapore%20169663%7CNight%20Safari%2C%2080%20Mandai%20Lake%20Road%2C%20Singapore%20729826" TargetMode="External"/><Relationship Id="rId7" Type="http://schemas.openxmlformats.org/officeDocument/2006/relationships/hyperlink" Target="https://www.google.com/maps/dir/?api=1&amp;origin=Grand%20Copthorne%20Waterfront%20Singapore%2C%20392%20Havelock%20Road%2C%20Singapore%20169663&amp;destination=Grand%20Copthorne%20Waterfront%20Singapore%2C%20392%20Havelock%20Road%2C%20Singapore%20169663&amp;travelmode=driving&amp;waypoints=Universal%20Studios%20Singapore%2C%208%20Sentosa%20Gateway%2C%20Singapore%20098269%7CPalawan%20Beach%2C%20Sentosa%2C%20Singapore%7CSiloso%20Beach%2C%20Sentosa%2C%20Singapore%7CClarke%20Quay%2C%20Singapore" TargetMode="External"/><Relationship Id="rId8" Type="http://schemas.openxmlformats.org/officeDocument/2006/relationships/hyperlink" Target="https://www.google.com/maps/dir/?api=1&amp;origin=Grand%20Copthorne%20Waterfront%20Singapore%2C%20392%20Havelock%20Road%2C%20Singapore%20169663&amp;destination=Singapore%20Changi%20Airport%2C%20Airport%20Boulevard%2C%20Singapore&amp;travelmode=driving" TargetMode="External"/></Relationships>
</file>

<file path=xl/worksheets/_rels/sheet17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ogle.com/maps/dir/?api=1&amp;origin=Long%20Beach%2C%20Ko%20Phi%20Phi%20Don%2C%20Krabi%2C%20Thailand&amp;destination=Long%20Beach%2C%20Ko%20Phi%20Phi%20Don%2C%20Krabi%2C%20Thailand&amp;travelmode=walking&amp;waypoints=Tonsai%20Pier%2C%20Ko%20Phi%20Phi%20Don%2C%20Thailand%7CMaya%20Bay%2C%20Ko%20Phi%20Phi%20Leh%2C%20Thailand%7CBamboo%20Island%2C%20Krabi%2C%20Thailand" TargetMode="External"/><Relationship Id="rId10" Type="http://schemas.openxmlformats.org/officeDocument/2006/relationships/hyperlink" Target="https://www.google.com/maps/dir/?api=1&amp;origin=Long%20Beach%2C%20Ko%20Phi%20Phi%20Don%2C%20Krabi%2C%20Thailand&amp;destination=Long%20Beach%2C%20Ko%20Phi%20Phi%20Don%2C%20Krabi%2C%20Thailand&amp;travelmode=walking&amp;waypoints=Tonsai%20Pier%2C%20Ko%20Phi%20Phi%20Don%2C%20Thailand%7CLoh%20Dalum%20Beach%2C%20Ko%20Phi%20Phi%20Don%2C%20Thailand" TargetMode="External"/><Relationship Id="rId13" Type="http://schemas.openxmlformats.org/officeDocument/2006/relationships/hyperlink" Target="https://www.google.com/maps/dir/?api=1&amp;origin=Long%20Beach%2C%20Ko%20Phi%20Phi%20Don%2C%20Krabi%2C%20Thailand&amp;destination=Poonsiri%20Resort%20Aonang%2C%20211%20Moo%204%2C%20Ao%20Nang%2C%20Mueang%20Krabi%2C%20Krabi%2081000%2C%20Thailand&amp;travelmode=transit&amp;waypoints=Tonsai%20Pier%2C%20Ko%20Phi%20Phi%20Don%2C%20Thailand%7CNopparat%20Thara%20Pier%2C%20Ao%20Nang%2C%20Thailand%7CRailay%20Beach%2C%20Krabi%2C%20Thailand%7CPhra%20Nang%20Cave%20Beach%2C%20Krabi%2C%20Thailand" TargetMode="External"/><Relationship Id="rId12" Type="http://schemas.openxmlformats.org/officeDocument/2006/relationships/hyperlink" Target="https://www.google.com/maps/dir/?api=1&amp;origin=Long%20Beach%2C%20Ko%20Phi%20Phi%20Don%2C%20Krabi%2C%20Thailand&amp;destination=Long%20Beach%2C%20Ko%20Phi%20Phi%20Don%2C%20Krabi%2C%20Thailand&amp;travelmode=walking&amp;waypoints=Loh%20Moo%20Dee%20Beach%2C%20Ko%20Phi%20Phi%20Don%2C%20Thailand%7CLoh%20Dalum%20Beach%2C%20Ko%20Phi%20Phi%20Don%2C%20Thailand" TargetMode="External"/><Relationship Id="rId15" Type="http://schemas.openxmlformats.org/officeDocument/2006/relationships/hyperlink" Target="https://www.google.com/maps/dir/?api=1&amp;origin=Poonsiri%20Resort%20Aonang%2C%20211%20Moo%204%2C%20Ao%20Nang%2C%20Mueang%20Krabi%2C%20Krabi%2081000%2C%20Thailand&amp;destination=Baan%20Karon%20Resort%2C%20213%20Patak%20Road%2C%20Karon%2C%20Phuket%2083100%2C%20Thailand&amp;travelmode=transit&amp;waypoints=Nopparat%20Thara%20Pier%2C%20Ao%20Nang%2C%20Thailand%7CRassada%20Pier%2C%20Phuket%2C%20Thailand" TargetMode="External"/><Relationship Id="rId14" Type="http://schemas.openxmlformats.org/officeDocument/2006/relationships/hyperlink" Target="https://www.google.com/maps/dir/?api=1&amp;origin=Poonsiri%20Resort%20Aonang%2C%20211%20Moo%204%2C%20Ao%20Nang%2C%20Mueang%20Krabi%2C%20Krabi%2081000%2C%20Thailand&amp;destination=Poonsiri%20Resort%20Aonang%2C%20211%20Moo%204%2C%20Ao%20Nang%2C%20Mueang%20Krabi%2C%20Krabi%2081000%2C%20Thailand&amp;travelmode=driving&amp;waypoints=Ao%20Nam%20Mao%20Pier%2C%20Krabi%2C%20Thailand%7CRailay%20Viewpoint%2C%20Krabi%2C%20Thailand%7CPhra%20Nang%20Cave%20Beach%2C%20Krabi%2C%20Thailand%7CAo%20Nam%20Mao%20Pier%2C%20Krabi%2C%20Thailand" TargetMode="External"/><Relationship Id="rId17" Type="http://schemas.openxmlformats.org/officeDocument/2006/relationships/hyperlink" Target="https://www.google.com/maps/dir/?api=1&amp;origin=Baan%20Karon%20Resort%2C%20213%20Patak%20Road%2C%20Karon%2C%20Phuket%2083100%2C%20Thailand&amp;destination=Baan%20Karon%20Resort%2C%20213%20Patak%20Road%2C%20Karon%2C%20Phuket%2083100%2C%20Thailand&amp;travelmode=walking&amp;waypoints=Kata%20Beach%2C%20Phuket%2C%20Thailand%7CKata%20Night%20Market%2C%20Phuket%2C%20Thailand" TargetMode="External"/><Relationship Id="rId16" Type="http://schemas.openxmlformats.org/officeDocument/2006/relationships/hyperlink" Target="https://www.google.com/maps/dir/?api=1&amp;origin=Baan%20Karon%20Resort%2C%20213%20Patak%20Road%2C%20Karon%2C%20Phuket%2083100%2C%20Thailand&amp;destination=Baan%20Karon%20Resort%2C%20213%20Patak%20Road%2C%20Karon%2C%20Phuket%2083100%2C%20Thailand&amp;travelmode=walking&amp;waypoints=Karon%20Beach%2C%20Phuket%2C%20Thailand" TargetMode="External"/><Relationship Id="rId19" Type="http://schemas.openxmlformats.org/officeDocument/2006/relationships/drawing" Target="../drawings/drawing17.xml"/><Relationship Id="rId18" Type="http://schemas.openxmlformats.org/officeDocument/2006/relationships/hyperlink" Target="https://www.google.com/maps/dir/?api=1&amp;origin=Baan%20Karon%20Resort%2C%20213%20Patak%20Road%2C%20Karon%2C%20Phuket%2083100%2C%20Thailand&amp;destination=Phuket%20International%20Airport%2C%20International%20Terminal%2C%20222%20Moo%206%2C%20Mai%20Khao%2C%20Thalang%2C%20Phuket%2C%20Thailand&amp;travelmode=driving" TargetMode="External"/><Relationship Id="rId1" Type="http://schemas.openxmlformats.org/officeDocument/2006/relationships/hyperlink" Target="https://www.google.com/maps/dir/?api=1&amp;origin=Grand%20Copthorne%20Waterfront%20Singapore%2C%20392%20Havelock%20Road%2C%20Singapore%20169663&amp;destination=The%20Sands%20Khao%20Lak%20by%20Katathani%2C%2010%2F18%20Petchkasem%20Road%2C%20Moo%207%2C%20Khuk%20Khak%2C%20Takua%20Pa%2C%20Phang%20Nga%2082220%2C%20Thailand&amp;travelmode=transit&amp;waypoints=Singapore%20Changi%20Airport%2C%20Singapore%7CPhuket%20International%20Airport%2C%20Phuket%2C%20Thailand" TargetMode="External"/><Relationship Id="rId2" Type="http://schemas.openxmlformats.org/officeDocument/2006/relationships/hyperlink" Target="https://www.google.com/maps/dir/?api=1&amp;origin=The%20Sands%20Khao%20Lak%20by%20Katathani%2C%2010%2F18%20Petchkasem%20Road%2C%20Moo%207%2C%20Khuk%20Khak%2C%20Takua%20Pa%2C%20Phang%20Nga%2082220%2C%20Thailand&amp;destination=The%20Sands%20Khao%20Lak%20by%20Katathani%2C%2010%2F18%20Petchkasem%20Road%2C%20Moo%207%2C%20Khuk%20Khak%2C%20Takua%20Pa%2C%20Phang%20Nga%2082220%2C%20Thailand&amp;travelmode=walking&amp;waypoints=Nang%20Thong%20Beach%2C%20Khao%20Lak%2C%20Thailand%7CKhao%20Lak%20Center%2C%20Phang%20Nga%2C%20Thailand" TargetMode="External"/><Relationship Id="rId3" Type="http://schemas.openxmlformats.org/officeDocument/2006/relationships/hyperlink" Target="https://www.google.com/maps/dir/?api=1&amp;origin=The%20Sands%20Khao%20Lak%20by%20Katathani%2C%2010%2F18%20Petchkasem%20Road%2C%20Moo%207%2C%20Khuk%20Khak%2C%20Takua%20Pa%2C%20Phang%20Nga%2082220%2C%20Thailand&amp;destination=The%20Sands%20Khao%20Lak%20by%20Katathani%2C%2010%2F18%20Petchkasem%20Road%2C%20Moo%207%2C%20Khuk%20Khak%2C%20Takua%20Pa%2C%20Phang%20Nga%2082220%2C%20Thailand&amp;travelmode=driving&amp;waypoints=Khao%20Lak-Lam%20Ru%20National%20Park%20Visitor%20Center%2C%20Phang%20Nga%2C%20Thailand%7CTon%20Chong%20Fa%20Waterfall%2C%20Khuekkhak%2C%20Phang%20Nga%2C%20Thailand%7CBang%20Niang%20Market%2C%20Khao%20Lak%2C%20Thailand" TargetMode="External"/><Relationship Id="rId4" Type="http://schemas.openxmlformats.org/officeDocument/2006/relationships/hyperlink" Target="https://www.google.com/maps/dir/?api=1&amp;origin=The%20Sands%20Khao%20Lak%20by%20Katathani%2C%2010%2F18%20Petchkasem%20Road%2C%20Moo%207%2C%20Khuk%20Khak%2C%20Takua%20Pa%2C%20Phang%20Nga%2082220%2C%20Thailand&amp;destination=Magical%20Mountain%20View%20Resort%2C%20292%2F1%20Moo%207%2C%20Khlong%20Sok%2C%20Phanom%2C%20Surat%20Thani%2084250%2C%20Thailand&amp;travelmode=driving&amp;waypoints=Khao%20Sok%20National%20Park%20Visitor%20Center%2C%20Khlong%20Sok%2C%20Thailand%7CSok%20River%2C%20Khlong%20Sok%2C%20Thailand" TargetMode="External"/><Relationship Id="rId9" Type="http://schemas.openxmlformats.org/officeDocument/2006/relationships/hyperlink" Target="https://www.google.com/maps/dir/?api=1&amp;origin=Sai%20Naam%20Lanta%20Residence%2C%20541%2F2%20Moo%202%2C%20Long%20Beach%2C%20Saladan%2C%20Koh%20Lanta%2C%20Krabi%2081150%2C%20Thailand&amp;destination=Long%20Beach%2C%20Ko%20Phi%20Phi%20Don%2C%20Krabi%2C%20Thailand&amp;travelmode=transit&amp;waypoints=Saladan%20Pier%2C%20Koh%20Lanta%2C%20Thailand%7CTonsai%20Pier%2C%20Ko%20Phi%20Phi%20Don%2C%20Thailand" TargetMode="External"/><Relationship Id="rId5" Type="http://schemas.openxmlformats.org/officeDocument/2006/relationships/hyperlink" Target="https://www.google.com/maps/dir/?api=1&amp;origin=Magical%20Mountain%20View%20Resort%2C%20292%2F1%20Moo%207%2C%20Khlong%20Sok%2C%20Phanom%2C%20Surat%20Thani%2084250%2C%20Thailand&amp;destination=Cheow%20Lan%20Lake%2C%20Khao%20Phang%2C%20Ban%20Ta%20Khun%20District%2C%20Surat%20Thani%2C%20Thailand&amp;travelmode=driving&amp;waypoints=Ratchaprapha%20Dam%20Scenic%20Viewpoint%2C%20Surat%20Thani%2C%20Thailand%7CRatchaprapha%20Marina%2C%20Ban%20Ta%20Khun%2C%20Surat%20Thani%2C%20Thailand" TargetMode="External"/><Relationship Id="rId6" Type="http://schemas.openxmlformats.org/officeDocument/2006/relationships/hyperlink" Target="https://www.google.com/maps/dir/?api=1&amp;origin=Cheow%20Lan%20Lake%2C%20Khao%20Phang%2C%20Ban%20Ta%20Khun%20District%2C%20Surat%20Thani%2C%20Thailand&amp;destination=Sai%20Naam%20Lanta%20Residence%2C%20541%2F2%20Moo%202%2C%20Long%20Beach%2C%20Saladan%2C%20Koh%20Lanta%2C%20Krabi%2081150%2C%20Thailand&amp;travelmode=driving&amp;waypoints=Ratchaprapha%20Marina%2C%20Ban%20Ta%20Khun%2C%20Surat%20Thani%2C%20Thailand%7CHua%20Hin%20Pier%2C%20Khlong%20Yang%2C%20Krabi%2C%20Thailand" TargetMode="External"/><Relationship Id="rId7" Type="http://schemas.openxmlformats.org/officeDocument/2006/relationships/hyperlink" Target="https://www.google.com/maps/dir/?api=1&amp;origin=Sai%20Naam%20Lanta%20Residence%2C%20541%2F2%20Moo%202%2C%20Long%20Beach%2C%20Saladan%2C%20Koh%20Lanta%2C%20Krabi%2081150%2C%20Thailand&amp;destination=Sai%20Naam%20Lanta%20Residence%2C%20541%2F2%20Moo%202%2C%20Long%20Beach%2C%20Saladan%2C%20Koh%20Lanta%2C%20Krabi%2081150%2C%20Thailand&amp;travelmode=driving&amp;waypoints=Thung%20Yee%20Pheng%20Mangrove%20Forest%2C%20Koh%20Lanta%2C%20Thailand%7CLong%20Beach%2C%20Koh%20Lanta%2C%20Thailand" TargetMode="External"/><Relationship Id="rId8" Type="http://schemas.openxmlformats.org/officeDocument/2006/relationships/hyperlink" Target="https://www.google.com/maps/dir/?api=1&amp;origin=Sai%20Naam%20Lanta%20Residence%2C%20541%2F2%20Moo%202%2C%20Long%20Beach%2C%20Saladan%2C%20Koh%20Lanta%2C%20Krabi%2081150%2C%20Thailand&amp;destination=Sai%20Naam%20Lanta%20Residence%2C%20541%2F2%20Moo%202%2C%20Long%20Beach%2C%20Saladan%2C%20Koh%20Lanta%2C%20Krabi%2081150%2C%20Thailand&amp;travelmode=driving&amp;waypoints=Saladan%20Pier%2C%20Koh%20Lanta%2C%20Thailand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11"/>
    <col customWidth="1" min="2" max="2" width="10.44"/>
    <col customWidth="1" min="3" max="3" width="3.78"/>
    <col customWidth="1" min="4" max="4" width="21.0"/>
    <col customWidth="1" min="5" max="5" width="9.33"/>
    <col customWidth="1" min="6" max="6" width="1.89"/>
    <col customWidth="1" min="7" max="7" width="23.44"/>
    <col customWidth="1" min="8" max="8" width="9.89"/>
    <col customWidth="1" min="9" max="9" width="4.11"/>
    <col customWidth="1" min="10" max="10" width="18.0"/>
    <col customWidth="1" min="11" max="11" width="6.89"/>
    <col customWidth="1" min="12" max="12" width="8.89"/>
    <col customWidth="1" min="13" max="13" width="10.67"/>
    <col customWidth="1" min="14" max="14" width="8.33"/>
    <col customWidth="1" min="15" max="15" width="21.0"/>
    <col customWidth="1" min="16" max="16" width="9.33"/>
    <col customWidth="1" min="17" max="26" width="8.33"/>
  </cols>
  <sheetData>
    <row r="1" ht="15.75" customHeight="1">
      <c r="A1" s="21" t="s">
        <v>1</v>
      </c>
      <c r="B1" s="26"/>
      <c r="D1" s="31" t="s">
        <v>33</v>
      </c>
      <c r="E1" s="33"/>
      <c r="F1" s="35"/>
      <c r="G1" s="48" t="s">
        <v>37</v>
      </c>
      <c r="H1" s="51"/>
      <c r="I1" s="55"/>
      <c r="J1" s="57" t="s">
        <v>48</v>
      </c>
      <c r="K1" s="59"/>
      <c r="L1" s="59"/>
      <c r="M1" s="60"/>
      <c r="O1" s="62" t="s">
        <v>56</v>
      </c>
      <c r="P1" s="64"/>
    </row>
    <row r="2" ht="15.75" customHeight="1">
      <c r="A2" s="66"/>
      <c r="B2" s="67"/>
      <c r="D2" s="68"/>
      <c r="E2" s="69" t="s">
        <v>62</v>
      </c>
      <c r="G2" s="66"/>
      <c r="H2" s="69" t="s">
        <v>65</v>
      </c>
      <c r="I2" s="70"/>
      <c r="J2" s="68"/>
      <c r="M2" s="71"/>
      <c r="O2" s="68"/>
      <c r="P2" s="69" t="s">
        <v>62</v>
      </c>
    </row>
    <row r="3" ht="15.75" customHeight="1">
      <c r="A3" s="72" t="s">
        <v>33</v>
      </c>
      <c r="B3" s="74">
        <f>E27</f>
        <v>10455.75</v>
      </c>
      <c r="D3" s="68" t="s">
        <v>75</v>
      </c>
      <c r="E3" s="78">
        <f>Verzekeringen!B4</f>
        <v>352</v>
      </c>
      <c r="G3" s="66" t="s">
        <v>80</v>
      </c>
      <c r="H3" s="78">
        <v>0.0</v>
      </c>
      <c r="I3" s="70"/>
      <c r="J3" s="79" t="s">
        <v>83</v>
      </c>
      <c r="K3" s="81" t="s">
        <v>85</v>
      </c>
      <c r="L3" s="82" t="s">
        <v>88</v>
      </c>
      <c r="M3" s="83" t="s">
        <v>89</v>
      </c>
      <c r="O3" s="84" t="s">
        <v>90</v>
      </c>
      <c r="P3" s="85"/>
    </row>
    <row r="4" ht="15.75" customHeight="1">
      <c r="A4" s="86" t="s">
        <v>37</v>
      </c>
      <c r="B4" s="87">
        <f>H27</f>
        <v>21551.2</v>
      </c>
      <c r="D4" s="89" t="s">
        <v>94</v>
      </c>
      <c r="E4" s="78">
        <f>SUM(Verzekeringen!B5:B15)</f>
        <v>344.15</v>
      </c>
      <c r="G4" s="66" t="s">
        <v>100</v>
      </c>
      <c r="H4" s="78">
        <v>500.0</v>
      </c>
      <c r="I4" s="70"/>
      <c r="J4" s="66" t="s">
        <v>102</v>
      </c>
      <c r="K4" s="91">
        <f>COUNTA('Planning simpel'!D39:D86)</f>
        <v>48</v>
      </c>
      <c r="L4" s="92">
        <v>75.0</v>
      </c>
      <c r="M4" s="93">
        <f t="shared" ref="M4:M8" si="1">K4*L4</f>
        <v>3600</v>
      </c>
      <c r="O4" s="89" t="s">
        <v>112</v>
      </c>
      <c r="P4" s="78">
        <v>4200.0</v>
      </c>
    </row>
    <row r="5" ht="15.75" customHeight="1">
      <c r="A5" s="95" t="s">
        <v>48</v>
      </c>
      <c r="B5" s="96">
        <f>M27</f>
        <v>60048.91294</v>
      </c>
      <c r="D5" s="89" t="s">
        <v>119</v>
      </c>
      <c r="E5" s="78">
        <v>0.0</v>
      </c>
      <c r="G5" s="89" t="s">
        <v>121</v>
      </c>
      <c r="H5" s="78">
        <v>400.0</v>
      </c>
      <c r="I5" s="70"/>
      <c r="J5" s="66" t="s">
        <v>124</v>
      </c>
      <c r="K5" s="91">
        <f>COUNTA('Planning simpel'!D87:D125)</f>
        <v>39</v>
      </c>
      <c r="L5" s="92">
        <v>75.0</v>
      </c>
      <c r="M5" s="93">
        <f t="shared" si="1"/>
        <v>2925</v>
      </c>
      <c r="O5" s="89" t="s">
        <v>129</v>
      </c>
      <c r="P5" s="78">
        <v>3200.0</v>
      </c>
    </row>
    <row r="6" ht="15.75" customHeight="1">
      <c r="A6" s="98" t="s">
        <v>135</v>
      </c>
      <c r="B6" s="99">
        <v>5000.0</v>
      </c>
      <c r="D6" s="89" t="s">
        <v>139</v>
      </c>
      <c r="E6" s="78">
        <v>0.0</v>
      </c>
      <c r="G6" s="89" t="s">
        <v>140</v>
      </c>
      <c r="H6" s="78">
        <v>400.0</v>
      </c>
      <c r="I6" s="70"/>
      <c r="J6" s="89" t="s">
        <v>141</v>
      </c>
      <c r="K6" s="91">
        <f>COUNTA('Planning simpel'!D31:D38)</f>
        <v>8</v>
      </c>
      <c r="L6" s="92">
        <v>175.0</v>
      </c>
      <c r="M6" s="93">
        <f t="shared" si="1"/>
        <v>1400</v>
      </c>
      <c r="O6" s="105"/>
      <c r="P6" s="78"/>
    </row>
    <row r="7" ht="15.75" customHeight="1">
      <c r="A7" s="107" t="s">
        <v>147</v>
      </c>
      <c r="B7" s="111">
        <f>SUM(B3:B6)</f>
        <v>97055.86294</v>
      </c>
      <c r="D7" s="66" t="s">
        <v>152</v>
      </c>
      <c r="E7" s="78">
        <v>480.0</v>
      </c>
      <c r="G7" s="89"/>
      <c r="H7" s="78"/>
      <c r="I7" s="70"/>
      <c r="J7" s="89" t="s">
        <v>154</v>
      </c>
      <c r="K7" s="91">
        <v>23.0</v>
      </c>
      <c r="L7" s="92">
        <v>100.0</v>
      </c>
      <c r="M7" s="93">
        <f t="shared" si="1"/>
        <v>2300</v>
      </c>
      <c r="O7" s="115" t="s">
        <v>159</v>
      </c>
      <c r="P7" s="116">
        <f>SUM(P4:P6)</f>
        <v>7400</v>
      </c>
    </row>
    <row r="8" ht="15.75" customHeight="1">
      <c r="A8" s="117"/>
      <c r="B8" s="118"/>
      <c r="D8" s="66" t="s">
        <v>163</v>
      </c>
      <c r="E8" s="78">
        <v>180.0</v>
      </c>
      <c r="G8" s="105"/>
      <c r="H8" s="120"/>
      <c r="I8" s="70"/>
      <c r="J8" s="89" t="s">
        <v>165</v>
      </c>
      <c r="K8" s="91">
        <f>COUNTA('Planning simpel'!D2:D29)</f>
        <v>28</v>
      </c>
      <c r="L8" s="92">
        <v>150.0</v>
      </c>
      <c r="M8" s="93">
        <f t="shared" si="1"/>
        <v>4200</v>
      </c>
      <c r="O8" s="124" t="s">
        <v>170</v>
      </c>
      <c r="P8" s="85"/>
    </row>
    <row r="9" ht="15.75" customHeight="1">
      <c r="A9" s="126" t="s">
        <v>173</v>
      </c>
      <c r="B9" s="127">
        <f>SUM(B10:B12)</f>
        <v>43527.91294</v>
      </c>
      <c r="D9" s="66" t="s">
        <v>176</v>
      </c>
      <c r="E9" s="78">
        <v>100.0</v>
      </c>
      <c r="G9" s="89"/>
      <c r="H9" s="131"/>
      <c r="I9" s="70"/>
      <c r="J9" s="89" t="s">
        <v>180</v>
      </c>
      <c r="K9" s="91">
        <f>COUNTA('Planning simpel'!D148:D157)</f>
        <v>10</v>
      </c>
      <c r="L9" s="92">
        <v>0.0</v>
      </c>
      <c r="M9" s="132">
        <v>0.0</v>
      </c>
      <c r="O9" s="89" t="s">
        <v>186</v>
      </c>
      <c r="P9" s="78">
        <v>239.0</v>
      </c>
    </row>
    <row r="10" ht="15.75" customHeight="1">
      <c r="A10" s="134" t="s">
        <v>189</v>
      </c>
      <c r="B10" s="135">
        <f>H12</f>
        <v>12749</v>
      </c>
      <c r="D10" s="66" t="s">
        <v>193</v>
      </c>
      <c r="E10" s="78">
        <v>120.0</v>
      </c>
      <c r="G10" s="89"/>
      <c r="H10" s="78"/>
      <c r="I10" s="70"/>
      <c r="J10" s="89"/>
      <c r="K10" s="91"/>
      <c r="L10" s="92"/>
      <c r="M10" s="93"/>
      <c r="O10" s="89" t="s">
        <v>197</v>
      </c>
      <c r="P10" s="78"/>
    </row>
    <row r="11" ht="15.75" customHeight="1">
      <c r="A11" s="134" t="s">
        <v>0</v>
      </c>
      <c r="B11" s="137">
        <f>SUMIF('Planning simpel'!L2:L158, "Ja", 'Planning simpel'!I2:I159)</f>
        <v>29533.91294</v>
      </c>
      <c r="D11" s="66" t="s">
        <v>210</v>
      </c>
      <c r="E11" s="120">
        <v>15.0</v>
      </c>
      <c r="G11" s="105" t="s">
        <v>6</v>
      </c>
      <c r="H11" s="120"/>
      <c r="I11" s="70"/>
      <c r="J11" s="89"/>
      <c r="K11" s="91"/>
      <c r="L11" s="92"/>
      <c r="M11" s="93"/>
      <c r="O11" s="89" t="s">
        <v>218</v>
      </c>
      <c r="P11" s="78"/>
    </row>
    <row r="12" ht="15.75" customHeight="1">
      <c r="A12" s="139" t="s">
        <v>221</v>
      </c>
      <c r="B12" s="140">
        <f>SUMIF('Excursies en activiteien'!C2:C91, "Ja", 'Excursies en activiteien'!B2:B91)</f>
        <v>1245</v>
      </c>
      <c r="D12" s="66" t="s">
        <v>225</v>
      </c>
      <c r="E12" s="78">
        <v>100.0</v>
      </c>
      <c r="G12" s="89" t="s">
        <v>226</v>
      </c>
      <c r="H12" s="131">
        <f>'Vluchten en vervoer'!G29</f>
        <v>12749</v>
      </c>
      <c r="I12" s="70"/>
      <c r="J12" s="105"/>
      <c r="K12" s="141"/>
      <c r="L12" s="142"/>
      <c r="M12" s="93"/>
      <c r="O12" s="66"/>
      <c r="P12" s="78"/>
    </row>
    <row r="13" ht="15.75" customHeight="1">
      <c r="A13" s="143" t="s">
        <v>232</v>
      </c>
      <c r="B13" s="144"/>
      <c r="D13" s="89" t="s">
        <v>79</v>
      </c>
      <c r="E13" s="78">
        <v>400.0</v>
      </c>
      <c r="G13" s="89" t="s">
        <v>233</v>
      </c>
      <c r="H13" s="78">
        <f>'Vluchten en vervoer'!G51</f>
        <v>4522.2</v>
      </c>
      <c r="I13" s="70"/>
      <c r="J13" s="89"/>
      <c r="K13" s="91"/>
      <c r="L13" s="92"/>
      <c r="M13" s="93"/>
      <c r="O13" s="89"/>
      <c r="P13" s="78"/>
    </row>
    <row r="14" ht="15.75" customHeight="1">
      <c r="A14" s="152" t="s">
        <v>238</v>
      </c>
      <c r="B14" s="155">
        <f>P7*P26</f>
        <v>37000</v>
      </c>
      <c r="D14" s="66" t="s">
        <v>244</v>
      </c>
      <c r="E14" s="78">
        <v>0.0</v>
      </c>
      <c r="G14" s="89" t="s">
        <v>245</v>
      </c>
      <c r="H14" s="78">
        <f>'Vluchten en vervoer'!G96</f>
        <v>480</v>
      </c>
      <c r="I14" s="70"/>
      <c r="J14" s="89" t="s">
        <v>248</v>
      </c>
      <c r="K14" s="91">
        <v>15.0</v>
      </c>
      <c r="L14" s="92">
        <v>150.0</v>
      </c>
      <c r="M14" s="93">
        <f>K14*L14</f>
        <v>2250</v>
      </c>
      <c r="O14" s="66"/>
      <c r="P14" s="78"/>
    </row>
    <row r="15" ht="15.75" customHeight="1">
      <c r="A15" s="152" t="s">
        <v>254</v>
      </c>
      <c r="B15" s="155">
        <v>62000.0</v>
      </c>
      <c r="D15" s="66"/>
      <c r="E15" s="120"/>
      <c r="G15" s="156"/>
      <c r="H15" s="78"/>
      <c r="I15" s="70"/>
      <c r="J15" s="157" t="s">
        <v>256</v>
      </c>
      <c r="K15" s="160">
        <f>SUM(K4:K13)</f>
        <v>156</v>
      </c>
      <c r="L15" s="161"/>
      <c r="M15" s="161">
        <f>SUM(M4:M14)</f>
        <v>16675</v>
      </c>
      <c r="O15" s="66"/>
      <c r="P15" s="120"/>
    </row>
    <row r="16" ht="15.75" customHeight="1">
      <c r="A16" s="152" t="s">
        <v>266</v>
      </c>
      <c r="B16" s="155">
        <f>P22</f>
        <v>11200</v>
      </c>
      <c r="D16" s="66"/>
      <c r="E16" s="120"/>
      <c r="G16" s="89"/>
      <c r="H16" s="78"/>
      <c r="I16" s="70"/>
      <c r="J16" s="163" t="s">
        <v>0</v>
      </c>
      <c r="K16" s="164"/>
      <c r="L16" s="165"/>
      <c r="M16" s="166"/>
      <c r="O16" s="115" t="s">
        <v>159</v>
      </c>
      <c r="P16" s="116">
        <f>SUM(P9:P15)</f>
        <v>239</v>
      </c>
    </row>
    <row r="17" ht="15.75" customHeight="1">
      <c r="A17" s="152" t="s">
        <v>275</v>
      </c>
      <c r="B17" s="155">
        <v>6000.0</v>
      </c>
      <c r="D17" s="66"/>
      <c r="E17" s="120"/>
      <c r="G17" s="89" t="s">
        <v>279</v>
      </c>
      <c r="H17" s="167">
        <v>2500.0</v>
      </c>
      <c r="I17" s="70"/>
      <c r="J17" s="89" t="s">
        <v>282</v>
      </c>
      <c r="K17" s="91">
        <f>'Planning simpel'!A158</f>
        <v>157</v>
      </c>
      <c r="L17" s="92"/>
      <c r="M17" s="93">
        <f>SUM('Planning simpel'!I4:I159)</f>
        <v>36952.91294</v>
      </c>
      <c r="O17" s="89" t="s">
        <v>288</v>
      </c>
      <c r="P17" s="78">
        <v>11200.0</v>
      </c>
    </row>
    <row r="18" ht="15.75" customHeight="1">
      <c r="A18" s="169" t="s">
        <v>159</v>
      </c>
      <c r="B18" s="171">
        <f>SUM(B14:B17)</f>
        <v>116200</v>
      </c>
      <c r="D18" s="68"/>
      <c r="E18" s="120"/>
      <c r="G18" s="172"/>
      <c r="H18" s="167"/>
      <c r="I18" s="70"/>
      <c r="J18" s="66"/>
      <c r="K18" s="91"/>
      <c r="L18" s="142"/>
      <c r="M18" s="93"/>
      <c r="O18" s="68"/>
      <c r="P18" s="120"/>
    </row>
    <row r="19" ht="15.75" customHeight="1">
      <c r="A19" s="66"/>
      <c r="B19" s="67"/>
      <c r="D19" s="68"/>
      <c r="E19" s="120"/>
      <c r="G19" s="89"/>
      <c r="H19" s="167"/>
      <c r="I19" s="70"/>
      <c r="J19" s="105" t="s">
        <v>221</v>
      </c>
      <c r="K19" s="141"/>
      <c r="L19" s="142"/>
      <c r="M19" s="93"/>
      <c r="O19" s="68"/>
      <c r="P19" s="120"/>
    </row>
    <row r="20" ht="15.75" customHeight="1">
      <c r="A20" s="173" t="s">
        <v>147</v>
      </c>
      <c r="B20" s="174">
        <f>B7</f>
        <v>97055.86294</v>
      </c>
      <c r="D20" s="68"/>
      <c r="E20" s="120"/>
      <c r="G20" s="89"/>
      <c r="H20" s="167"/>
      <c r="I20" s="70"/>
      <c r="J20" s="66" t="s">
        <v>311</v>
      </c>
      <c r="K20" s="91"/>
      <c r="L20" s="142"/>
      <c r="M20" s="93">
        <f>'Excursies en activiteien'!B92</f>
        <v>5421</v>
      </c>
      <c r="O20" s="68"/>
      <c r="P20" s="120"/>
    </row>
    <row r="21" ht="15.75" customHeight="1">
      <c r="A21" s="175" t="s">
        <v>317</v>
      </c>
      <c r="B21" s="177">
        <f>B18-B20</f>
        <v>19144.13706</v>
      </c>
      <c r="D21" s="68"/>
      <c r="E21" s="120"/>
      <c r="G21" s="89"/>
      <c r="H21" s="178"/>
      <c r="I21" s="70"/>
      <c r="J21" s="66" t="s">
        <v>325</v>
      </c>
      <c r="K21" s="91"/>
      <c r="L21" s="92"/>
      <c r="M21" s="132">
        <v>1000.0</v>
      </c>
      <c r="O21" s="68"/>
      <c r="P21" s="120"/>
    </row>
    <row r="22" ht="15.75" customHeight="1">
      <c r="A22" s="68"/>
      <c r="B22" s="71"/>
      <c r="D22" s="68"/>
      <c r="E22" s="120"/>
      <c r="G22" s="89"/>
      <c r="H22" s="78"/>
      <c r="I22" s="70"/>
      <c r="J22" s="157" t="s">
        <v>331</v>
      </c>
      <c r="K22" s="179"/>
      <c r="L22" s="180"/>
      <c r="M22" s="181">
        <f>SUM(M20:M21)</f>
        <v>6421</v>
      </c>
      <c r="O22" s="115" t="s">
        <v>159</v>
      </c>
      <c r="P22" s="116">
        <f>SUM(P17:P21)</f>
        <v>11200</v>
      </c>
    </row>
    <row r="23" ht="15.75" customHeight="1">
      <c r="A23" s="183" t="s">
        <v>343</v>
      </c>
      <c r="B23" s="184"/>
      <c r="D23" s="185"/>
      <c r="E23" s="120"/>
      <c r="G23" s="89"/>
      <c r="H23" s="78"/>
      <c r="I23" s="70"/>
      <c r="J23" s="105" t="s">
        <v>170</v>
      </c>
      <c r="K23" s="141"/>
      <c r="L23" s="92"/>
      <c r="M23" s="93"/>
      <c r="O23" s="185"/>
      <c r="P23" s="120"/>
    </row>
    <row r="24" ht="15.75" customHeight="1">
      <c r="A24" s="186"/>
      <c r="B24" s="187"/>
      <c r="D24" s="68" t="s">
        <v>351</v>
      </c>
      <c r="E24" s="188">
        <f>SUM(E3:E23)</f>
        <v>2091.15</v>
      </c>
      <c r="G24" s="66"/>
      <c r="H24" s="78"/>
      <c r="I24" s="70"/>
      <c r="J24" s="66"/>
      <c r="K24" s="91"/>
      <c r="L24" s="92"/>
      <c r="M24" s="93">
        <f t="shared" ref="M24:M25" si="2">K24*L24</f>
        <v>0</v>
      </c>
      <c r="O24" s="68" t="s">
        <v>351</v>
      </c>
      <c r="P24" s="188">
        <f>SUM(P7+P16)</f>
        <v>7639</v>
      </c>
    </row>
    <row r="25" ht="15.75" customHeight="1">
      <c r="A25" s="193" t="s">
        <v>361</v>
      </c>
      <c r="B25" s="194"/>
      <c r="D25" s="68"/>
      <c r="E25" s="71"/>
      <c r="G25" s="66"/>
      <c r="H25" s="78"/>
      <c r="I25" s="70"/>
      <c r="J25" s="66"/>
      <c r="K25" s="141"/>
      <c r="L25" s="142"/>
      <c r="M25" s="93">
        <f t="shared" si="2"/>
        <v>0</v>
      </c>
      <c r="O25" s="68"/>
      <c r="P25" s="71"/>
    </row>
    <row r="26" ht="15.75" customHeight="1">
      <c r="A26" s="198"/>
      <c r="B26" s="199"/>
      <c r="C26" s="200"/>
      <c r="D26" s="201" t="s">
        <v>369</v>
      </c>
      <c r="E26" s="202">
        <v>5.0</v>
      </c>
      <c r="G26" s="203"/>
      <c r="H26" s="204"/>
      <c r="I26" s="70"/>
      <c r="J26" s="205"/>
      <c r="K26" s="207"/>
      <c r="L26" s="207"/>
      <c r="M26" s="208"/>
      <c r="O26" s="201" t="s">
        <v>369</v>
      </c>
      <c r="P26" s="202">
        <v>5.0</v>
      </c>
    </row>
    <row r="27" ht="15.75" customHeight="1">
      <c r="A27" s="210" t="s">
        <v>377</v>
      </c>
      <c r="B27" s="213">
        <f>B20/K15</f>
        <v>622.1529676</v>
      </c>
      <c r="C27" s="200"/>
      <c r="D27" s="214" t="s">
        <v>381</v>
      </c>
      <c r="E27" s="216">
        <f>E24*E26</f>
        <v>10455.75</v>
      </c>
      <c r="F27" s="217"/>
      <c r="G27" s="218" t="s">
        <v>385</v>
      </c>
      <c r="H27" s="219">
        <f>SUM(H3:H25)</f>
        <v>21551.2</v>
      </c>
      <c r="I27" s="200"/>
      <c r="J27" s="220" t="s">
        <v>388</v>
      </c>
      <c r="K27" s="223"/>
      <c r="L27" s="223"/>
      <c r="M27" s="224">
        <f>M15+M17+M25+M22+M24</f>
        <v>60048.91294</v>
      </c>
      <c r="O27" s="225" t="s">
        <v>381</v>
      </c>
      <c r="P27" s="226">
        <f>((P24*P26)+P17)</f>
        <v>49395</v>
      </c>
    </row>
    <row r="28" ht="15.75" customHeight="1">
      <c r="A28" s="228"/>
      <c r="B28" s="229"/>
      <c r="C28" s="200"/>
      <c r="D28" s="217"/>
      <c r="G28" s="70"/>
      <c r="H28" s="70"/>
      <c r="I28" s="70"/>
      <c r="J28" s="230"/>
      <c r="K28" s="230"/>
      <c r="L28" s="230"/>
      <c r="M28" s="231"/>
      <c r="O28" s="217"/>
    </row>
    <row r="29" ht="15.75" customHeight="1">
      <c r="A29" s="228"/>
      <c r="B29" s="229"/>
      <c r="C29" s="200"/>
      <c r="D29" s="217"/>
      <c r="G29" s="70"/>
      <c r="H29" s="70"/>
      <c r="I29" s="70"/>
      <c r="O29" s="217"/>
    </row>
    <row r="30" ht="15.75" customHeight="1">
      <c r="A30" s="200"/>
      <c r="B30" s="200"/>
      <c r="C30" s="200"/>
      <c r="D30" s="217"/>
      <c r="G30" s="70"/>
      <c r="H30" s="70"/>
      <c r="I30" s="70"/>
      <c r="O30" s="217"/>
    </row>
    <row r="31" ht="15.75" customHeight="1">
      <c r="I31" s="232"/>
    </row>
    <row r="32" ht="15.75" customHeight="1">
      <c r="I32" s="232"/>
    </row>
    <row r="33" ht="15.75" customHeight="1">
      <c r="I33" s="232"/>
    </row>
    <row r="34" ht="15.75" customHeight="1">
      <c r="I34" s="232"/>
    </row>
    <row r="35" ht="15.75" customHeight="1">
      <c r="I35" s="232"/>
    </row>
    <row r="36" ht="15.75" customHeight="1">
      <c r="I36" s="232"/>
    </row>
    <row r="37" ht="15.75" customHeight="1">
      <c r="I37" s="232"/>
    </row>
    <row r="38" ht="15.75" customHeight="1">
      <c r="I38" s="232"/>
    </row>
    <row r="39" ht="15.75" customHeight="1">
      <c r="I39" s="232"/>
    </row>
    <row r="40" ht="15.75" customHeight="1">
      <c r="I40" s="232"/>
    </row>
    <row r="41" ht="15.75" customHeight="1">
      <c r="I41" s="232"/>
    </row>
    <row r="42" ht="15.75" customHeight="1">
      <c r="I42" s="232"/>
    </row>
    <row r="43" ht="15.75" customHeight="1">
      <c r="I43" s="232"/>
    </row>
    <row r="44" ht="15.75" customHeight="1">
      <c r="I44" s="232"/>
    </row>
    <row r="45" ht="15.75" customHeight="1">
      <c r="I45" s="232"/>
    </row>
    <row r="46" ht="15.75" customHeight="1">
      <c r="I46" s="232"/>
    </row>
    <row r="47" ht="15.75" customHeight="1">
      <c r="I47" s="232"/>
    </row>
    <row r="48" ht="15.75" customHeight="1">
      <c r="I48" s="232"/>
    </row>
    <row r="49" ht="15.75" customHeight="1">
      <c r="I49" s="232"/>
    </row>
    <row r="50" ht="15.75" customHeight="1">
      <c r="I50" s="232"/>
    </row>
    <row r="51" ht="15.75" customHeight="1">
      <c r="I51" s="232"/>
    </row>
    <row r="52" ht="15.75" customHeight="1">
      <c r="I52" s="232"/>
    </row>
    <row r="53" ht="15.75" customHeight="1">
      <c r="I53" s="232"/>
    </row>
    <row r="54" ht="15.75" customHeight="1">
      <c r="I54" s="232"/>
    </row>
    <row r="55" ht="15.75" customHeight="1">
      <c r="I55" s="232"/>
    </row>
    <row r="56" ht="15.75" customHeight="1">
      <c r="I56" s="232"/>
    </row>
    <row r="57" ht="15.75" customHeight="1">
      <c r="I57" s="232"/>
    </row>
    <row r="58" ht="15.75" customHeight="1">
      <c r="I58" s="232"/>
    </row>
    <row r="59" ht="15.75" customHeight="1">
      <c r="I59" s="232"/>
    </row>
    <row r="60" ht="15.75" customHeight="1">
      <c r="I60" s="232"/>
    </row>
    <row r="61" ht="15.75" customHeight="1">
      <c r="I61" s="232"/>
    </row>
    <row r="62" ht="15.75" customHeight="1">
      <c r="I62" s="232"/>
    </row>
    <row r="63" ht="15.75" customHeight="1">
      <c r="I63" s="232"/>
    </row>
    <row r="64" ht="15.75" customHeight="1">
      <c r="I64" s="232"/>
    </row>
    <row r="65" ht="15.75" customHeight="1">
      <c r="I65" s="232"/>
    </row>
    <row r="66" ht="15.75" customHeight="1">
      <c r="I66" s="232"/>
    </row>
    <row r="67" ht="15.75" customHeight="1">
      <c r="I67" s="232"/>
    </row>
    <row r="68" ht="15.75" customHeight="1">
      <c r="I68" s="232"/>
    </row>
    <row r="69" ht="15.75" customHeight="1">
      <c r="I69" s="232"/>
    </row>
    <row r="70" ht="15.75" customHeight="1">
      <c r="I70" s="232"/>
    </row>
    <row r="71" ht="15.75" customHeight="1">
      <c r="I71" s="232"/>
    </row>
    <row r="72" ht="15.75" customHeight="1">
      <c r="I72" s="232"/>
    </row>
    <row r="73" ht="15.75" customHeight="1">
      <c r="I73" s="232"/>
    </row>
    <row r="74" ht="15.75" customHeight="1">
      <c r="I74" s="232"/>
    </row>
    <row r="75" ht="15.75" customHeight="1">
      <c r="I75" s="232"/>
    </row>
    <row r="76" ht="15.75" customHeight="1">
      <c r="I76" s="232"/>
    </row>
    <row r="77" ht="15.75" customHeight="1">
      <c r="I77" s="232"/>
    </row>
    <row r="78" ht="15.75" customHeight="1">
      <c r="I78" s="232"/>
    </row>
    <row r="79" ht="15.75" customHeight="1">
      <c r="I79" s="232"/>
    </row>
    <row r="80" ht="15.75" customHeight="1">
      <c r="I80" s="232"/>
    </row>
    <row r="81" ht="15.75" customHeight="1">
      <c r="I81" s="232"/>
    </row>
    <row r="82" ht="15.75" customHeight="1">
      <c r="I82" s="232"/>
    </row>
    <row r="83" ht="15.75" customHeight="1">
      <c r="I83" s="232"/>
    </row>
    <row r="84" ht="15.75" customHeight="1">
      <c r="I84" s="232"/>
    </row>
    <row r="85" ht="15.75" customHeight="1">
      <c r="I85" s="232"/>
    </row>
    <row r="86" ht="15.75" customHeight="1">
      <c r="I86" s="232"/>
    </row>
    <row r="87" ht="15.75" customHeight="1">
      <c r="I87" s="232"/>
    </row>
    <row r="88" ht="15.75" customHeight="1">
      <c r="I88" s="232"/>
    </row>
    <row r="89" ht="15.75" customHeight="1">
      <c r="I89" s="232"/>
    </row>
    <row r="90" ht="15.75" customHeight="1">
      <c r="I90" s="232"/>
    </row>
    <row r="91" ht="15.75" customHeight="1">
      <c r="I91" s="232"/>
    </row>
    <row r="92" ht="15.75" customHeight="1">
      <c r="I92" s="232"/>
    </row>
    <row r="93" ht="15.75" customHeight="1">
      <c r="I93" s="232"/>
    </row>
    <row r="94" ht="15.75" customHeight="1">
      <c r="I94" s="232"/>
    </row>
    <row r="95" ht="15.75" customHeight="1">
      <c r="I95" s="232"/>
    </row>
    <row r="96" ht="15.75" customHeight="1">
      <c r="I96" s="232"/>
    </row>
    <row r="97" ht="15.75" customHeight="1">
      <c r="I97" s="232"/>
    </row>
    <row r="98" ht="15.75" customHeight="1">
      <c r="I98" s="232"/>
    </row>
    <row r="99" ht="15.75" customHeight="1">
      <c r="I99" s="232"/>
    </row>
    <row r="100" ht="15.75" customHeight="1">
      <c r="I100" s="232"/>
    </row>
    <row r="101" ht="15.75" customHeight="1">
      <c r="I101" s="232"/>
    </row>
    <row r="102" ht="15.75" customHeight="1">
      <c r="I102" s="232"/>
    </row>
    <row r="103" ht="15.75" customHeight="1">
      <c r="I103" s="232"/>
    </row>
    <row r="104" ht="15.75" customHeight="1">
      <c r="I104" s="232"/>
    </row>
    <row r="105" ht="15.75" customHeight="1">
      <c r="I105" s="232"/>
    </row>
    <row r="106" ht="15.75" customHeight="1">
      <c r="I106" s="232"/>
    </row>
    <row r="107" ht="15.75" customHeight="1">
      <c r="I107" s="232"/>
    </row>
    <row r="108" ht="15.75" customHeight="1">
      <c r="I108" s="232"/>
    </row>
    <row r="109" ht="15.75" customHeight="1">
      <c r="I109" s="232"/>
    </row>
    <row r="110" ht="15.75" customHeight="1">
      <c r="I110" s="232"/>
    </row>
    <row r="111" ht="15.75" customHeight="1">
      <c r="I111" s="232"/>
    </row>
    <row r="112" ht="15.75" customHeight="1">
      <c r="I112" s="232"/>
    </row>
    <row r="113" ht="15.75" customHeight="1">
      <c r="I113" s="232"/>
    </row>
    <row r="114" ht="15.75" customHeight="1">
      <c r="I114" s="232"/>
    </row>
    <row r="115" ht="15.75" customHeight="1">
      <c r="I115" s="232"/>
    </row>
    <row r="116" ht="15.75" customHeight="1">
      <c r="I116" s="232"/>
    </row>
    <row r="117" ht="15.75" customHeight="1">
      <c r="I117" s="232"/>
    </row>
    <row r="118" ht="15.75" customHeight="1">
      <c r="I118" s="232"/>
    </row>
    <row r="119" ht="15.75" customHeight="1">
      <c r="I119" s="232"/>
    </row>
    <row r="120" ht="15.75" customHeight="1">
      <c r="I120" s="232"/>
    </row>
    <row r="121" ht="15.75" customHeight="1">
      <c r="I121" s="232"/>
    </row>
    <row r="122" ht="15.75" customHeight="1">
      <c r="I122" s="232"/>
    </row>
    <row r="123" ht="15.75" customHeight="1">
      <c r="I123" s="232"/>
    </row>
    <row r="124" ht="15.75" customHeight="1">
      <c r="I124" s="232"/>
    </row>
    <row r="125" ht="15.75" customHeight="1">
      <c r="I125" s="232"/>
    </row>
    <row r="126" ht="15.75" customHeight="1">
      <c r="I126" s="232"/>
    </row>
    <row r="127" ht="15.75" customHeight="1">
      <c r="I127" s="232"/>
    </row>
    <row r="128" ht="15.75" customHeight="1">
      <c r="I128" s="232"/>
    </row>
    <row r="129" ht="15.75" customHeight="1">
      <c r="I129" s="232"/>
    </row>
    <row r="130" ht="15.75" customHeight="1">
      <c r="I130" s="232"/>
    </row>
    <row r="131" ht="15.75" customHeight="1">
      <c r="I131" s="232"/>
    </row>
    <row r="132" ht="15.75" customHeight="1">
      <c r="I132" s="232"/>
    </row>
    <row r="133" ht="15.75" customHeight="1">
      <c r="I133" s="232"/>
    </row>
    <row r="134" ht="15.75" customHeight="1">
      <c r="I134" s="232"/>
    </row>
    <row r="135" ht="15.75" customHeight="1">
      <c r="I135" s="232"/>
    </row>
    <row r="136" ht="15.75" customHeight="1">
      <c r="I136" s="232"/>
    </row>
    <row r="137" ht="15.75" customHeight="1">
      <c r="I137" s="232"/>
    </row>
    <row r="138" ht="15.75" customHeight="1">
      <c r="I138" s="232"/>
    </row>
    <row r="139" ht="15.75" customHeight="1">
      <c r="I139" s="232"/>
    </row>
    <row r="140" ht="15.75" customHeight="1">
      <c r="I140" s="232"/>
    </row>
    <row r="141" ht="15.75" customHeight="1">
      <c r="I141" s="232"/>
    </row>
    <row r="142" ht="15.75" customHeight="1">
      <c r="I142" s="232"/>
    </row>
    <row r="143" ht="15.75" customHeight="1">
      <c r="I143" s="232"/>
    </row>
    <row r="144" ht="15.75" customHeight="1">
      <c r="I144" s="232"/>
    </row>
    <row r="145" ht="15.75" customHeight="1">
      <c r="I145" s="232"/>
    </row>
    <row r="146" ht="15.75" customHeight="1">
      <c r="I146" s="232"/>
    </row>
    <row r="147" ht="15.75" customHeight="1">
      <c r="I147" s="232"/>
    </row>
    <row r="148" ht="15.75" customHeight="1">
      <c r="I148" s="232"/>
    </row>
    <row r="149" ht="15.75" customHeight="1">
      <c r="I149" s="232"/>
    </row>
    <row r="150" ht="15.75" customHeight="1">
      <c r="I150" s="232"/>
    </row>
    <row r="151" ht="15.75" customHeight="1">
      <c r="I151" s="232"/>
    </row>
    <row r="152" ht="15.75" customHeight="1">
      <c r="I152" s="232"/>
    </row>
    <row r="153" ht="15.75" customHeight="1">
      <c r="I153" s="232"/>
    </row>
    <row r="154" ht="15.75" customHeight="1">
      <c r="I154" s="232"/>
    </row>
    <row r="155" ht="15.75" customHeight="1">
      <c r="I155" s="232"/>
    </row>
    <row r="156" ht="15.75" customHeight="1">
      <c r="I156" s="232"/>
    </row>
    <row r="157" ht="15.75" customHeight="1">
      <c r="I157" s="232"/>
    </row>
    <row r="158" ht="15.75" customHeight="1">
      <c r="I158" s="232"/>
    </row>
    <row r="159" ht="15.75" customHeight="1">
      <c r="I159" s="232"/>
    </row>
    <row r="160" ht="15.75" customHeight="1">
      <c r="I160" s="232"/>
    </row>
    <row r="161" ht="15.75" customHeight="1">
      <c r="I161" s="232"/>
    </row>
    <row r="162" ht="15.75" customHeight="1">
      <c r="I162" s="232"/>
    </row>
    <row r="163" ht="15.75" customHeight="1">
      <c r="I163" s="232"/>
    </row>
    <row r="164" ht="15.75" customHeight="1">
      <c r="I164" s="232"/>
    </row>
    <row r="165" ht="15.75" customHeight="1">
      <c r="I165" s="232"/>
    </row>
    <row r="166" ht="15.75" customHeight="1">
      <c r="I166" s="232"/>
    </row>
    <row r="167" ht="15.75" customHeight="1">
      <c r="I167" s="232"/>
    </row>
    <row r="168" ht="15.75" customHeight="1">
      <c r="I168" s="232"/>
    </row>
    <row r="169" ht="15.75" customHeight="1">
      <c r="I169" s="232"/>
    </row>
    <row r="170" ht="15.75" customHeight="1">
      <c r="I170" s="232"/>
    </row>
    <row r="171" ht="15.75" customHeight="1">
      <c r="I171" s="232"/>
    </row>
    <row r="172" ht="15.75" customHeight="1">
      <c r="I172" s="232"/>
    </row>
    <row r="173" ht="15.75" customHeight="1">
      <c r="I173" s="232"/>
    </row>
    <row r="174" ht="15.75" customHeight="1">
      <c r="I174" s="232"/>
    </row>
    <row r="175" ht="15.75" customHeight="1">
      <c r="I175" s="232"/>
    </row>
    <row r="176" ht="15.75" customHeight="1">
      <c r="I176" s="232"/>
    </row>
    <row r="177" ht="15.75" customHeight="1">
      <c r="I177" s="232"/>
    </row>
    <row r="178" ht="15.75" customHeight="1">
      <c r="I178" s="232"/>
    </row>
    <row r="179" ht="15.75" customHeight="1">
      <c r="I179" s="232"/>
    </row>
    <row r="180" ht="15.75" customHeight="1">
      <c r="I180" s="232"/>
    </row>
    <row r="181" ht="15.75" customHeight="1">
      <c r="I181" s="232"/>
    </row>
    <row r="182" ht="15.75" customHeight="1">
      <c r="I182" s="232"/>
    </row>
    <row r="183" ht="15.75" customHeight="1">
      <c r="I183" s="232"/>
    </row>
    <row r="184" ht="15.75" customHeight="1">
      <c r="I184" s="232"/>
    </row>
    <row r="185" ht="15.75" customHeight="1">
      <c r="I185" s="232"/>
    </row>
    <row r="186" ht="15.75" customHeight="1">
      <c r="I186" s="232"/>
    </row>
    <row r="187" ht="15.75" customHeight="1">
      <c r="I187" s="232"/>
    </row>
    <row r="188" ht="15.75" customHeight="1">
      <c r="I188" s="232"/>
    </row>
    <row r="189" ht="15.75" customHeight="1">
      <c r="I189" s="232"/>
    </row>
    <row r="190" ht="15.75" customHeight="1">
      <c r="I190" s="232"/>
    </row>
    <row r="191" ht="15.75" customHeight="1">
      <c r="I191" s="232"/>
    </row>
    <row r="192" ht="15.75" customHeight="1">
      <c r="I192" s="232"/>
    </row>
    <row r="193" ht="15.75" customHeight="1">
      <c r="I193" s="232"/>
    </row>
    <row r="194" ht="15.75" customHeight="1">
      <c r="I194" s="232"/>
    </row>
    <row r="195" ht="15.75" customHeight="1">
      <c r="I195" s="232"/>
    </row>
    <row r="196" ht="15.75" customHeight="1">
      <c r="I196" s="232"/>
    </row>
    <row r="197" ht="15.75" customHeight="1">
      <c r="I197" s="232"/>
    </row>
    <row r="198" ht="15.75" customHeight="1">
      <c r="I198" s="232"/>
    </row>
    <row r="199" ht="15.75" customHeight="1">
      <c r="I199" s="232"/>
    </row>
    <row r="200" ht="15.75" customHeight="1">
      <c r="I200" s="232"/>
    </row>
    <row r="201" ht="15.75" customHeight="1">
      <c r="I201" s="232"/>
    </row>
    <row r="202" ht="15.75" customHeight="1">
      <c r="I202" s="232"/>
    </row>
    <row r="203" ht="15.75" customHeight="1">
      <c r="I203" s="232"/>
    </row>
    <row r="204" ht="15.75" customHeight="1">
      <c r="I204" s="232"/>
    </row>
    <row r="205" ht="15.75" customHeight="1">
      <c r="I205" s="232"/>
    </row>
    <row r="206" ht="15.75" customHeight="1">
      <c r="I206" s="232"/>
    </row>
    <row r="207" ht="15.75" customHeight="1">
      <c r="I207" s="232"/>
    </row>
    <row r="208" ht="15.75" customHeight="1">
      <c r="I208" s="232"/>
    </row>
    <row r="209" ht="15.75" customHeight="1">
      <c r="I209" s="232"/>
    </row>
    <row r="210" ht="15.75" customHeight="1">
      <c r="I210" s="232"/>
    </row>
    <row r="211" ht="15.75" customHeight="1">
      <c r="I211" s="232"/>
    </row>
    <row r="212" ht="15.75" customHeight="1">
      <c r="I212" s="232"/>
    </row>
    <row r="213" ht="15.75" customHeight="1">
      <c r="I213" s="232"/>
    </row>
    <row r="214" ht="15.75" customHeight="1">
      <c r="I214" s="232"/>
    </row>
    <row r="215" ht="15.75" customHeight="1">
      <c r="I215" s="232"/>
    </row>
    <row r="216" ht="15.75" customHeight="1">
      <c r="I216" s="232"/>
    </row>
    <row r="217" ht="15.75" customHeight="1">
      <c r="I217" s="232"/>
    </row>
    <row r="218" ht="15.75" customHeight="1">
      <c r="I218" s="232"/>
    </row>
    <row r="219" ht="15.75" customHeight="1">
      <c r="I219" s="232"/>
    </row>
    <row r="220" ht="15.75" customHeight="1">
      <c r="I220" s="232"/>
    </row>
    <row r="221" ht="15.75" customHeight="1">
      <c r="I221" s="232"/>
    </row>
    <row r="222" ht="15.75" customHeight="1">
      <c r="I222" s="232"/>
    </row>
    <row r="223" ht="15.75" customHeight="1">
      <c r="I223" s="232"/>
    </row>
    <row r="224" ht="15.75" customHeight="1">
      <c r="I224" s="232"/>
    </row>
    <row r="225" ht="15.75" customHeight="1">
      <c r="I225" s="232"/>
    </row>
    <row r="226" ht="15.75" customHeight="1">
      <c r="I226" s="232"/>
    </row>
    <row r="227" ht="15.75" customHeight="1">
      <c r="I227" s="232"/>
    </row>
    <row r="228" ht="15.75" customHeight="1">
      <c r="I228" s="232"/>
    </row>
    <row r="229" ht="15.75" customHeight="1">
      <c r="I229" s="232"/>
    </row>
    <row r="230" ht="15.75" customHeight="1">
      <c r="I230" s="232"/>
    </row>
    <row r="231" ht="15.75" customHeight="1">
      <c r="I231" s="232"/>
    </row>
    <row r="232" ht="15.75" customHeight="1">
      <c r="I232" s="232"/>
    </row>
    <row r="233" ht="15.75" customHeight="1">
      <c r="I233" s="232"/>
    </row>
    <row r="234" ht="15.75" customHeight="1">
      <c r="I234" s="232"/>
    </row>
    <row r="235" ht="15.75" customHeight="1">
      <c r="I235" s="232"/>
    </row>
    <row r="236" ht="15.75" customHeight="1">
      <c r="I236" s="232"/>
    </row>
    <row r="237" ht="15.75" customHeight="1">
      <c r="I237" s="232"/>
    </row>
    <row r="238" ht="15.75" customHeight="1">
      <c r="I238" s="232"/>
    </row>
    <row r="239" ht="15.75" customHeight="1">
      <c r="I239" s="232"/>
    </row>
    <row r="240" ht="15.75" customHeight="1">
      <c r="I240" s="232"/>
    </row>
    <row r="241" ht="15.75" customHeight="1">
      <c r="I241" s="232"/>
    </row>
    <row r="242" ht="15.75" customHeight="1">
      <c r="I242" s="232"/>
    </row>
    <row r="243" ht="15.75" customHeight="1">
      <c r="I243" s="232"/>
    </row>
    <row r="244" ht="15.75" customHeight="1">
      <c r="I244" s="232"/>
    </row>
    <row r="245" ht="15.75" customHeight="1">
      <c r="I245" s="232"/>
    </row>
    <row r="246" ht="15.75" customHeight="1">
      <c r="I246" s="232"/>
    </row>
    <row r="247" ht="15.75" customHeight="1">
      <c r="I247" s="232"/>
    </row>
    <row r="248" ht="15.75" customHeight="1">
      <c r="I248" s="232"/>
    </row>
    <row r="249" ht="15.75" customHeight="1">
      <c r="I249" s="232"/>
    </row>
    <row r="250" ht="15.75" customHeight="1">
      <c r="I250" s="232"/>
    </row>
    <row r="251" ht="15.75" customHeight="1">
      <c r="I251" s="232"/>
    </row>
    <row r="252" ht="15.75" customHeight="1">
      <c r="I252" s="232"/>
    </row>
    <row r="253" ht="15.75" customHeight="1">
      <c r="I253" s="232"/>
    </row>
    <row r="254" ht="15.75" customHeight="1">
      <c r="I254" s="232"/>
    </row>
    <row r="255" ht="15.75" customHeight="1">
      <c r="I255" s="232"/>
    </row>
    <row r="256" ht="15.75" customHeight="1">
      <c r="I256" s="232"/>
    </row>
    <row r="257" ht="15.75" customHeight="1">
      <c r="I257" s="232"/>
    </row>
    <row r="258" ht="15.75" customHeight="1">
      <c r="I258" s="232"/>
    </row>
    <row r="259" ht="15.75" customHeight="1">
      <c r="I259" s="232"/>
    </row>
    <row r="260" ht="15.75" customHeight="1">
      <c r="I260" s="232"/>
    </row>
    <row r="261" ht="15.75" customHeight="1">
      <c r="I261" s="232"/>
    </row>
    <row r="262" ht="15.75" customHeight="1">
      <c r="I262" s="232"/>
    </row>
    <row r="263" ht="15.75" customHeight="1">
      <c r="I263" s="232"/>
    </row>
    <row r="264" ht="15.75" customHeight="1">
      <c r="I264" s="232"/>
    </row>
    <row r="265" ht="15.75" customHeight="1">
      <c r="I265" s="232"/>
    </row>
    <row r="266" ht="15.75" customHeight="1">
      <c r="I266" s="232"/>
    </row>
    <row r="267" ht="15.75" customHeight="1">
      <c r="I267" s="232"/>
    </row>
    <row r="268" ht="15.75" customHeight="1">
      <c r="I268" s="232"/>
    </row>
    <row r="269" ht="15.75" customHeight="1">
      <c r="I269" s="232"/>
    </row>
    <row r="270" ht="15.75" customHeight="1">
      <c r="I270" s="232"/>
    </row>
    <row r="271" ht="15.75" customHeight="1">
      <c r="I271" s="232"/>
    </row>
    <row r="272" ht="15.75" customHeight="1">
      <c r="I272" s="232"/>
    </row>
    <row r="273" ht="15.75" customHeight="1">
      <c r="I273" s="232"/>
    </row>
    <row r="274" ht="15.75" customHeight="1">
      <c r="I274" s="232"/>
    </row>
    <row r="275" ht="15.75" customHeight="1">
      <c r="I275" s="232"/>
    </row>
    <row r="276" ht="15.75" customHeight="1">
      <c r="I276" s="232"/>
    </row>
    <row r="277" ht="15.75" customHeight="1">
      <c r="I277" s="232"/>
    </row>
    <row r="278" ht="15.75" customHeight="1">
      <c r="I278" s="232"/>
    </row>
    <row r="279" ht="15.75" customHeight="1">
      <c r="I279" s="232"/>
    </row>
    <row r="280" ht="15.75" customHeight="1">
      <c r="I280" s="232"/>
    </row>
    <row r="281" ht="15.75" customHeight="1">
      <c r="I281" s="232"/>
    </row>
    <row r="282" ht="15.75" customHeight="1">
      <c r="I282" s="232"/>
    </row>
    <row r="283" ht="15.75" customHeight="1">
      <c r="I283" s="232"/>
    </row>
    <row r="284" ht="15.75" customHeight="1">
      <c r="I284" s="232"/>
    </row>
    <row r="285" ht="15.75" customHeight="1">
      <c r="I285" s="232"/>
    </row>
    <row r="286" ht="15.75" customHeight="1">
      <c r="I286" s="232"/>
    </row>
    <row r="287" ht="15.75" customHeight="1">
      <c r="I287" s="232"/>
    </row>
    <row r="288" ht="15.75" customHeight="1">
      <c r="I288" s="232"/>
    </row>
    <row r="289" ht="15.75" customHeight="1">
      <c r="I289" s="232"/>
    </row>
    <row r="290" ht="15.75" customHeight="1">
      <c r="I290" s="232"/>
    </row>
    <row r="291" ht="15.75" customHeight="1">
      <c r="I291" s="232"/>
    </row>
    <row r="292" ht="15.75" customHeight="1">
      <c r="I292" s="232"/>
    </row>
    <row r="293" ht="15.75" customHeight="1">
      <c r="I293" s="232"/>
    </row>
    <row r="294" ht="15.75" customHeight="1">
      <c r="I294" s="232"/>
    </row>
    <row r="295" ht="15.75" customHeight="1">
      <c r="I295" s="232"/>
    </row>
    <row r="296" ht="15.75" customHeight="1">
      <c r="I296" s="232"/>
    </row>
    <row r="297" ht="15.75" customHeight="1">
      <c r="I297" s="232"/>
    </row>
    <row r="298" ht="15.75" customHeight="1">
      <c r="I298" s="232"/>
    </row>
    <row r="299" ht="15.75" customHeight="1">
      <c r="I299" s="232"/>
    </row>
    <row r="300" ht="15.75" customHeight="1">
      <c r="I300" s="232"/>
    </row>
    <row r="301" ht="15.75" customHeight="1">
      <c r="I301" s="232"/>
    </row>
    <row r="302" ht="15.75" customHeight="1">
      <c r="I302" s="232"/>
    </row>
    <row r="303" ht="15.75" customHeight="1">
      <c r="I303" s="232"/>
    </row>
    <row r="304" ht="15.75" customHeight="1">
      <c r="I304" s="232"/>
    </row>
    <row r="305" ht="15.75" customHeight="1">
      <c r="I305" s="232"/>
    </row>
    <row r="306" ht="15.75" customHeight="1">
      <c r="I306" s="232"/>
    </row>
    <row r="307" ht="15.75" customHeight="1">
      <c r="I307" s="232"/>
    </row>
    <row r="308" ht="15.75" customHeight="1">
      <c r="I308" s="232"/>
    </row>
    <row r="309" ht="15.75" customHeight="1">
      <c r="I309" s="232"/>
    </row>
    <row r="310" ht="15.75" customHeight="1">
      <c r="I310" s="232"/>
    </row>
    <row r="311" ht="15.75" customHeight="1">
      <c r="I311" s="232"/>
    </row>
    <row r="312" ht="15.75" customHeight="1">
      <c r="I312" s="232"/>
    </row>
    <row r="313" ht="15.75" customHeight="1">
      <c r="I313" s="232"/>
    </row>
    <row r="314" ht="15.75" customHeight="1">
      <c r="I314" s="232"/>
    </row>
    <row r="315" ht="15.75" customHeight="1">
      <c r="I315" s="232"/>
    </row>
    <row r="316" ht="15.75" customHeight="1">
      <c r="I316" s="232"/>
    </row>
    <row r="317" ht="15.75" customHeight="1">
      <c r="I317" s="232"/>
    </row>
    <row r="318" ht="15.75" customHeight="1">
      <c r="I318" s="232"/>
    </row>
    <row r="319" ht="15.75" customHeight="1">
      <c r="I319" s="232"/>
    </row>
    <row r="320" ht="15.75" customHeight="1">
      <c r="I320" s="232"/>
    </row>
    <row r="321" ht="15.75" customHeight="1">
      <c r="I321" s="232"/>
    </row>
    <row r="322" ht="15.75" customHeight="1">
      <c r="I322" s="232"/>
    </row>
    <row r="323" ht="15.75" customHeight="1">
      <c r="I323" s="232"/>
    </row>
    <row r="324" ht="15.75" customHeight="1">
      <c r="I324" s="232"/>
    </row>
    <row r="325" ht="15.75" customHeight="1">
      <c r="I325" s="232"/>
    </row>
    <row r="326" ht="15.75" customHeight="1">
      <c r="I326" s="232"/>
    </row>
    <row r="327" ht="15.75" customHeight="1">
      <c r="I327" s="232"/>
    </row>
    <row r="328" ht="15.75" customHeight="1">
      <c r="I328" s="232"/>
    </row>
    <row r="329" ht="15.75" customHeight="1">
      <c r="I329" s="232"/>
    </row>
    <row r="330" ht="15.75" customHeight="1">
      <c r="I330" s="232"/>
    </row>
    <row r="331" ht="15.75" customHeight="1">
      <c r="I331" s="232"/>
    </row>
    <row r="332" ht="15.75" customHeight="1">
      <c r="I332" s="232"/>
    </row>
    <row r="333" ht="15.75" customHeight="1">
      <c r="I333" s="232"/>
    </row>
    <row r="334" ht="15.75" customHeight="1">
      <c r="I334" s="232"/>
    </row>
    <row r="335" ht="15.75" customHeight="1">
      <c r="I335" s="232"/>
    </row>
    <row r="336" ht="15.75" customHeight="1">
      <c r="I336" s="232"/>
    </row>
    <row r="337" ht="15.75" customHeight="1">
      <c r="I337" s="232"/>
    </row>
    <row r="338" ht="15.75" customHeight="1">
      <c r="I338" s="232"/>
    </row>
    <row r="339" ht="15.75" customHeight="1">
      <c r="I339" s="232"/>
    </row>
    <row r="340" ht="15.75" customHeight="1">
      <c r="I340" s="232"/>
    </row>
    <row r="341" ht="15.75" customHeight="1">
      <c r="I341" s="232"/>
    </row>
    <row r="342" ht="15.75" customHeight="1">
      <c r="I342" s="232"/>
    </row>
    <row r="343" ht="15.75" customHeight="1">
      <c r="I343" s="232"/>
    </row>
    <row r="344" ht="15.75" customHeight="1">
      <c r="I344" s="232"/>
    </row>
    <row r="345" ht="15.75" customHeight="1">
      <c r="I345" s="232"/>
    </row>
    <row r="346" ht="15.75" customHeight="1">
      <c r="I346" s="232"/>
    </row>
    <row r="347" ht="15.75" customHeight="1">
      <c r="I347" s="232"/>
    </row>
    <row r="348" ht="15.75" customHeight="1">
      <c r="I348" s="232"/>
    </row>
    <row r="349" ht="15.75" customHeight="1">
      <c r="I349" s="232"/>
    </row>
    <row r="350" ht="15.75" customHeight="1">
      <c r="I350" s="232"/>
    </row>
    <row r="351" ht="15.75" customHeight="1">
      <c r="I351" s="232"/>
    </row>
    <row r="352" ht="15.75" customHeight="1">
      <c r="I352" s="232"/>
    </row>
    <row r="353" ht="15.75" customHeight="1">
      <c r="I353" s="232"/>
    </row>
    <row r="354" ht="15.75" customHeight="1">
      <c r="I354" s="232"/>
    </row>
    <row r="355" ht="15.75" customHeight="1">
      <c r="I355" s="232"/>
    </row>
    <row r="356" ht="15.75" customHeight="1">
      <c r="I356" s="232"/>
    </row>
    <row r="357" ht="15.75" customHeight="1">
      <c r="I357" s="232"/>
    </row>
    <row r="358" ht="15.75" customHeight="1">
      <c r="I358" s="232"/>
    </row>
    <row r="359" ht="15.75" customHeight="1">
      <c r="I359" s="232"/>
    </row>
    <row r="360" ht="15.75" customHeight="1">
      <c r="I360" s="232"/>
    </row>
    <row r="361" ht="15.75" customHeight="1">
      <c r="I361" s="232"/>
    </row>
    <row r="362" ht="15.75" customHeight="1">
      <c r="I362" s="232"/>
    </row>
    <row r="363" ht="15.75" customHeight="1">
      <c r="I363" s="232"/>
    </row>
    <row r="364" ht="15.75" customHeight="1">
      <c r="I364" s="232"/>
    </row>
    <row r="365" ht="15.75" customHeight="1">
      <c r="I365" s="232"/>
    </row>
    <row r="366" ht="15.75" customHeight="1">
      <c r="I366" s="232"/>
    </row>
    <row r="367" ht="15.75" customHeight="1">
      <c r="I367" s="232"/>
    </row>
    <row r="368" ht="15.75" customHeight="1">
      <c r="I368" s="232"/>
    </row>
    <row r="369" ht="15.75" customHeight="1">
      <c r="I369" s="232"/>
    </row>
    <row r="370" ht="15.75" customHeight="1">
      <c r="I370" s="232"/>
    </row>
    <row r="371" ht="15.75" customHeight="1">
      <c r="I371" s="232"/>
    </row>
    <row r="372" ht="15.75" customHeight="1">
      <c r="I372" s="232"/>
    </row>
    <row r="373" ht="15.75" customHeight="1">
      <c r="I373" s="232"/>
    </row>
    <row r="374" ht="15.75" customHeight="1">
      <c r="I374" s="232"/>
    </row>
    <row r="375" ht="15.75" customHeight="1">
      <c r="I375" s="232"/>
    </row>
    <row r="376" ht="15.75" customHeight="1">
      <c r="I376" s="232"/>
    </row>
    <row r="377" ht="15.75" customHeight="1">
      <c r="I377" s="232"/>
    </row>
    <row r="378" ht="15.75" customHeight="1">
      <c r="I378" s="232"/>
    </row>
    <row r="379" ht="15.75" customHeight="1">
      <c r="I379" s="232"/>
    </row>
    <row r="380" ht="15.75" customHeight="1">
      <c r="I380" s="232"/>
    </row>
    <row r="381" ht="15.75" customHeight="1">
      <c r="I381" s="232"/>
    </row>
    <row r="382" ht="15.75" customHeight="1">
      <c r="I382" s="232"/>
    </row>
    <row r="383" ht="15.75" customHeight="1">
      <c r="I383" s="232"/>
    </row>
    <row r="384" ht="15.75" customHeight="1">
      <c r="I384" s="232"/>
    </row>
    <row r="385" ht="15.75" customHeight="1">
      <c r="I385" s="232"/>
    </row>
    <row r="386" ht="15.75" customHeight="1">
      <c r="I386" s="232"/>
    </row>
    <row r="387" ht="15.75" customHeight="1">
      <c r="I387" s="232"/>
    </row>
    <row r="388" ht="15.75" customHeight="1">
      <c r="I388" s="232"/>
    </row>
    <row r="389" ht="15.75" customHeight="1">
      <c r="I389" s="232"/>
    </row>
    <row r="390" ht="15.75" customHeight="1">
      <c r="I390" s="232"/>
    </row>
    <row r="391" ht="15.75" customHeight="1">
      <c r="I391" s="232"/>
    </row>
    <row r="392" ht="15.75" customHeight="1">
      <c r="I392" s="232"/>
    </row>
    <row r="393" ht="15.75" customHeight="1">
      <c r="I393" s="232"/>
    </row>
    <row r="394" ht="15.75" customHeight="1">
      <c r="I394" s="232"/>
    </row>
    <row r="395" ht="15.75" customHeight="1">
      <c r="I395" s="232"/>
    </row>
    <row r="396" ht="15.75" customHeight="1">
      <c r="I396" s="232"/>
    </row>
    <row r="397" ht="15.75" customHeight="1">
      <c r="I397" s="232"/>
    </row>
    <row r="398" ht="15.75" customHeight="1">
      <c r="I398" s="232"/>
    </row>
    <row r="399" ht="15.75" customHeight="1">
      <c r="I399" s="232"/>
    </row>
    <row r="400" ht="15.75" customHeight="1">
      <c r="I400" s="232"/>
    </row>
    <row r="401" ht="15.75" customHeight="1">
      <c r="I401" s="232"/>
    </row>
    <row r="402" ht="15.75" customHeight="1">
      <c r="I402" s="232"/>
    </row>
    <row r="403" ht="15.75" customHeight="1">
      <c r="I403" s="232"/>
    </row>
    <row r="404" ht="15.75" customHeight="1">
      <c r="I404" s="232"/>
    </row>
    <row r="405" ht="15.75" customHeight="1">
      <c r="I405" s="232"/>
    </row>
    <row r="406" ht="15.75" customHeight="1">
      <c r="I406" s="232"/>
    </row>
    <row r="407" ht="15.75" customHeight="1">
      <c r="I407" s="232"/>
    </row>
    <row r="408" ht="15.75" customHeight="1">
      <c r="I408" s="232"/>
    </row>
    <row r="409" ht="15.75" customHeight="1">
      <c r="I409" s="232"/>
    </row>
    <row r="410" ht="15.75" customHeight="1">
      <c r="I410" s="232"/>
    </row>
    <row r="411" ht="15.75" customHeight="1">
      <c r="I411" s="232"/>
    </row>
    <row r="412" ht="15.75" customHeight="1">
      <c r="I412" s="232"/>
    </row>
    <row r="413" ht="15.75" customHeight="1">
      <c r="I413" s="232"/>
    </row>
    <row r="414" ht="15.75" customHeight="1">
      <c r="I414" s="232"/>
    </row>
    <row r="415" ht="15.75" customHeight="1">
      <c r="I415" s="232"/>
    </row>
    <row r="416" ht="15.75" customHeight="1">
      <c r="I416" s="232"/>
    </row>
    <row r="417" ht="15.75" customHeight="1">
      <c r="I417" s="232"/>
    </row>
    <row r="418" ht="15.75" customHeight="1">
      <c r="I418" s="232"/>
    </row>
    <row r="419" ht="15.75" customHeight="1">
      <c r="I419" s="232"/>
    </row>
    <row r="420" ht="15.75" customHeight="1">
      <c r="I420" s="232"/>
    </row>
    <row r="421" ht="15.75" customHeight="1">
      <c r="I421" s="232"/>
    </row>
    <row r="422" ht="15.75" customHeight="1">
      <c r="I422" s="232"/>
    </row>
    <row r="423" ht="15.75" customHeight="1">
      <c r="I423" s="232"/>
    </row>
    <row r="424" ht="15.75" customHeight="1">
      <c r="I424" s="232"/>
    </row>
    <row r="425" ht="15.75" customHeight="1">
      <c r="I425" s="232"/>
    </row>
    <row r="426" ht="15.75" customHeight="1">
      <c r="I426" s="232"/>
    </row>
    <row r="427" ht="15.75" customHeight="1">
      <c r="I427" s="232"/>
    </row>
    <row r="428" ht="15.75" customHeight="1">
      <c r="I428" s="232"/>
    </row>
    <row r="429" ht="15.75" customHeight="1">
      <c r="I429" s="232"/>
    </row>
    <row r="430" ht="15.75" customHeight="1">
      <c r="I430" s="232"/>
    </row>
    <row r="431" ht="15.75" customHeight="1">
      <c r="I431" s="232"/>
    </row>
    <row r="432" ht="15.75" customHeight="1">
      <c r="I432" s="232"/>
    </row>
    <row r="433" ht="15.75" customHeight="1">
      <c r="I433" s="232"/>
    </row>
    <row r="434" ht="15.75" customHeight="1">
      <c r="I434" s="232"/>
    </row>
    <row r="435" ht="15.75" customHeight="1">
      <c r="I435" s="232"/>
    </row>
    <row r="436" ht="15.75" customHeight="1">
      <c r="I436" s="232"/>
    </row>
    <row r="437" ht="15.75" customHeight="1">
      <c r="I437" s="232"/>
    </row>
    <row r="438" ht="15.75" customHeight="1">
      <c r="I438" s="232"/>
    </row>
    <row r="439" ht="15.75" customHeight="1">
      <c r="I439" s="232"/>
    </row>
    <row r="440" ht="15.75" customHeight="1">
      <c r="I440" s="232"/>
    </row>
    <row r="441" ht="15.75" customHeight="1">
      <c r="I441" s="232"/>
    </row>
    <row r="442" ht="15.75" customHeight="1">
      <c r="I442" s="232"/>
    </row>
    <row r="443" ht="15.75" customHeight="1">
      <c r="I443" s="232"/>
    </row>
    <row r="444" ht="15.75" customHeight="1">
      <c r="I444" s="232"/>
    </row>
    <row r="445" ht="15.75" customHeight="1">
      <c r="I445" s="232"/>
    </row>
    <row r="446" ht="15.75" customHeight="1">
      <c r="I446" s="232"/>
    </row>
    <row r="447" ht="15.75" customHeight="1">
      <c r="I447" s="232"/>
    </row>
    <row r="448" ht="15.75" customHeight="1">
      <c r="I448" s="232"/>
    </row>
    <row r="449" ht="15.75" customHeight="1">
      <c r="I449" s="232"/>
    </row>
    <row r="450" ht="15.75" customHeight="1">
      <c r="I450" s="232"/>
    </row>
    <row r="451" ht="15.75" customHeight="1">
      <c r="I451" s="232"/>
    </row>
    <row r="452" ht="15.75" customHeight="1">
      <c r="I452" s="232"/>
    </row>
    <row r="453" ht="15.75" customHeight="1">
      <c r="I453" s="232"/>
    </row>
    <row r="454" ht="15.75" customHeight="1">
      <c r="I454" s="232"/>
    </row>
    <row r="455" ht="15.75" customHeight="1">
      <c r="I455" s="232"/>
    </row>
    <row r="456" ht="15.75" customHeight="1">
      <c r="I456" s="232"/>
    </row>
    <row r="457" ht="15.75" customHeight="1">
      <c r="I457" s="232"/>
    </row>
    <row r="458" ht="15.75" customHeight="1">
      <c r="I458" s="232"/>
    </row>
    <row r="459" ht="15.75" customHeight="1">
      <c r="I459" s="232"/>
    </row>
    <row r="460" ht="15.75" customHeight="1">
      <c r="I460" s="232"/>
    </row>
    <row r="461" ht="15.75" customHeight="1">
      <c r="I461" s="232"/>
    </row>
    <row r="462" ht="15.75" customHeight="1">
      <c r="I462" s="232"/>
    </row>
    <row r="463" ht="15.75" customHeight="1">
      <c r="I463" s="232"/>
    </row>
    <row r="464" ht="15.75" customHeight="1">
      <c r="I464" s="232"/>
    </row>
    <row r="465" ht="15.75" customHeight="1">
      <c r="I465" s="232"/>
    </row>
    <row r="466" ht="15.75" customHeight="1">
      <c r="I466" s="232"/>
    </row>
    <row r="467" ht="15.75" customHeight="1">
      <c r="I467" s="232"/>
    </row>
    <row r="468" ht="15.75" customHeight="1">
      <c r="I468" s="232"/>
    </row>
    <row r="469" ht="15.75" customHeight="1">
      <c r="I469" s="232"/>
    </row>
    <row r="470" ht="15.75" customHeight="1">
      <c r="I470" s="232"/>
    </row>
    <row r="471" ht="15.75" customHeight="1">
      <c r="I471" s="232"/>
    </row>
    <row r="472" ht="15.75" customHeight="1">
      <c r="I472" s="232"/>
    </row>
    <row r="473" ht="15.75" customHeight="1">
      <c r="I473" s="232"/>
    </row>
    <row r="474" ht="15.75" customHeight="1">
      <c r="I474" s="232"/>
    </row>
    <row r="475" ht="15.75" customHeight="1">
      <c r="I475" s="232"/>
    </row>
    <row r="476" ht="15.75" customHeight="1">
      <c r="I476" s="232"/>
    </row>
    <row r="477" ht="15.75" customHeight="1">
      <c r="I477" s="232"/>
    </row>
    <row r="478" ht="15.75" customHeight="1">
      <c r="I478" s="232"/>
    </row>
    <row r="479" ht="15.75" customHeight="1">
      <c r="I479" s="232"/>
    </row>
    <row r="480" ht="15.75" customHeight="1">
      <c r="I480" s="232"/>
    </row>
    <row r="481" ht="15.75" customHeight="1">
      <c r="I481" s="232"/>
    </row>
    <row r="482" ht="15.75" customHeight="1">
      <c r="I482" s="232"/>
    </row>
    <row r="483" ht="15.75" customHeight="1">
      <c r="I483" s="232"/>
    </row>
    <row r="484" ht="15.75" customHeight="1">
      <c r="I484" s="232"/>
    </row>
    <row r="485" ht="15.75" customHeight="1">
      <c r="I485" s="232"/>
    </row>
    <row r="486" ht="15.75" customHeight="1">
      <c r="I486" s="232"/>
    </row>
    <row r="487" ht="15.75" customHeight="1">
      <c r="I487" s="232"/>
    </row>
    <row r="488" ht="15.75" customHeight="1">
      <c r="I488" s="232"/>
    </row>
    <row r="489" ht="15.75" customHeight="1">
      <c r="I489" s="232"/>
    </row>
    <row r="490" ht="15.75" customHeight="1">
      <c r="I490" s="232"/>
    </row>
    <row r="491" ht="15.75" customHeight="1">
      <c r="I491" s="232"/>
    </row>
    <row r="492" ht="15.75" customHeight="1">
      <c r="I492" s="232"/>
    </row>
    <row r="493" ht="15.75" customHeight="1">
      <c r="I493" s="232"/>
    </row>
    <row r="494" ht="15.75" customHeight="1">
      <c r="I494" s="232"/>
    </row>
    <row r="495" ht="15.75" customHeight="1">
      <c r="I495" s="232"/>
    </row>
    <row r="496" ht="15.75" customHeight="1">
      <c r="I496" s="232"/>
    </row>
    <row r="497" ht="15.75" customHeight="1">
      <c r="I497" s="232"/>
    </row>
    <row r="498" ht="15.75" customHeight="1">
      <c r="I498" s="232"/>
    </row>
    <row r="499" ht="15.75" customHeight="1">
      <c r="I499" s="232"/>
    </row>
    <row r="500" ht="15.75" customHeight="1">
      <c r="I500" s="232"/>
    </row>
    <row r="501" ht="15.75" customHeight="1">
      <c r="I501" s="232"/>
    </row>
    <row r="502" ht="15.75" customHeight="1">
      <c r="I502" s="232"/>
    </row>
    <row r="503" ht="15.75" customHeight="1">
      <c r="I503" s="232"/>
    </row>
    <row r="504" ht="15.75" customHeight="1">
      <c r="I504" s="232"/>
    </row>
    <row r="505" ht="15.75" customHeight="1">
      <c r="I505" s="232"/>
    </row>
    <row r="506" ht="15.75" customHeight="1">
      <c r="I506" s="232"/>
    </row>
    <row r="507" ht="15.75" customHeight="1">
      <c r="I507" s="232"/>
    </row>
    <row r="508" ht="15.75" customHeight="1">
      <c r="I508" s="232"/>
    </row>
    <row r="509" ht="15.75" customHeight="1">
      <c r="I509" s="232"/>
    </row>
    <row r="510" ht="15.75" customHeight="1">
      <c r="I510" s="232"/>
    </row>
    <row r="511" ht="15.75" customHeight="1">
      <c r="I511" s="232"/>
    </row>
    <row r="512" ht="15.75" customHeight="1">
      <c r="I512" s="232"/>
    </row>
    <row r="513" ht="15.75" customHeight="1">
      <c r="I513" s="232"/>
    </row>
    <row r="514" ht="15.75" customHeight="1">
      <c r="I514" s="232"/>
    </row>
    <row r="515" ht="15.75" customHeight="1">
      <c r="I515" s="232"/>
    </row>
    <row r="516" ht="15.75" customHeight="1">
      <c r="I516" s="232"/>
    </row>
    <row r="517" ht="15.75" customHeight="1">
      <c r="I517" s="232"/>
    </row>
    <row r="518" ht="15.75" customHeight="1">
      <c r="I518" s="232"/>
    </row>
    <row r="519" ht="15.75" customHeight="1">
      <c r="I519" s="232"/>
    </row>
    <row r="520" ht="15.75" customHeight="1">
      <c r="I520" s="232"/>
    </row>
    <row r="521" ht="15.75" customHeight="1">
      <c r="I521" s="232"/>
    </row>
    <row r="522" ht="15.75" customHeight="1">
      <c r="I522" s="232"/>
    </row>
    <row r="523" ht="15.75" customHeight="1">
      <c r="I523" s="232"/>
    </row>
    <row r="524" ht="15.75" customHeight="1">
      <c r="I524" s="232"/>
    </row>
    <row r="525" ht="15.75" customHeight="1">
      <c r="I525" s="232"/>
    </row>
    <row r="526" ht="15.75" customHeight="1">
      <c r="I526" s="232"/>
    </row>
    <row r="527" ht="15.75" customHeight="1">
      <c r="I527" s="232"/>
    </row>
    <row r="528" ht="15.75" customHeight="1">
      <c r="I528" s="232"/>
    </row>
    <row r="529" ht="15.75" customHeight="1">
      <c r="I529" s="232"/>
    </row>
    <row r="530" ht="15.75" customHeight="1">
      <c r="I530" s="232"/>
    </row>
    <row r="531" ht="15.75" customHeight="1">
      <c r="I531" s="232"/>
    </row>
    <row r="532" ht="15.75" customHeight="1">
      <c r="I532" s="232"/>
    </row>
    <row r="533" ht="15.75" customHeight="1">
      <c r="I533" s="232"/>
    </row>
    <row r="534" ht="15.75" customHeight="1">
      <c r="I534" s="232"/>
    </row>
    <row r="535" ht="15.75" customHeight="1">
      <c r="I535" s="232"/>
    </row>
    <row r="536" ht="15.75" customHeight="1">
      <c r="I536" s="232"/>
    </row>
    <row r="537" ht="15.75" customHeight="1">
      <c r="I537" s="232"/>
    </row>
    <row r="538" ht="15.75" customHeight="1">
      <c r="I538" s="232"/>
    </row>
    <row r="539" ht="15.75" customHeight="1">
      <c r="I539" s="232"/>
    </row>
    <row r="540" ht="15.75" customHeight="1">
      <c r="I540" s="232"/>
    </row>
    <row r="541" ht="15.75" customHeight="1">
      <c r="I541" s="232"/>
    </row>
    <row r="542" ht="15.75" customHeight="1">
      <c r="I542" s="232"/>
    </row>
    <row r="543" ht="15.75" customHeight="1">
      <c r="I543" s="232"/>
    </row>
    <row r="544" ht="15.75" customHeight="1">
      <c r="I544" s="232"/>
    </row>
    <row r="545" ht="15.75" customHeight="1">
      <c r="I545" s="232"/>
    </row>
    <row r="546" ht="15.75" customHeight="1">
      <c r="I546" s="232"/>
    </row>
    <row r="547" ht="15.75" customHeight="1">
      <c r="I547" s="232"/>
    </row>
    <row r="548" ht="15.75" customHeight="1">
      <c r="I548" s="232"/>
    </row>
    <row r="549" ht="15.75" customHeight="1">
      <c r="I549" s="232"/>
    </row>
    <row r="550" ht="15.75" customHeight="1">
      <c r="I550" s="232"/>
    </row>
    <row r="551" ht="15.75" customHeight="1">
      <c r="I551" s="232"/>
    </row>
    <row r="552" ht="15.75" customHeight="1">
      <c r="I552" s="232"/>
    </row>
    <row r="553" ht="15.75" customHeight="1">
      <c r="I553" s="232"/>
    </row>
    <row r="554" ht="15.75" customHeight="1">
      <c r="I554" s="232"/>
    </row>
    <row r="555" ht="15.75" customHeight="1">
      <c r="I555" s="232"/>
    </row>
    <row r="556" ht="15.75" customHeight="1">
      <c r="I556" s="232"/>
    </row>
    <row r="557" ht="15.75" customHeight="1">
      <c r="I557" s="232"/>
    </row>
    <row r="558" ht="15.75" customHeight="1">
      <c r="I558" s="232"/>
    </row>
    <row r="559" ht="15.75" customHeight="1">
      <c r="I559" s="232"/>
    </row>
    <row r="560" ht="15.75" customHeight="1">
      <c r="I560" s="232"/>
    </row>
    <row r="561" ht="15.75" customHeight="1">
      <c r="I561" s="232"/>
    </row>
    <row r="562" ht="15.75" customHeight="1">
      <c r="I562" s="232"/>
    </row>
    <row r="563" ht="15.75" customHeight="1">
      <c r="I563" s="232"/>
    </row>
    <row r="564" ht="15.75" customHeight="1">
      <c r="I564" s="232"/>
    </row>
    <row r="565" ht="15.75" customHeight="1">
      <c r="I565" s="232"/>
    </row>
    <row r="566" ht="15.75" customHeight="1">
      <c r="I566" s="232"/>
    </row>
    <row r="567" ht="15.75" customHeight="1">
      <c r="I567" s="232"/>
    </row>
    <row r="568" ht="15.75" customHeight="1">
      <c r="I568" s="232"/>
    </row>
    <row r="569" ht="15.75" customHeight="1">
      <c r="I569" s="232"/>
    </row>
    <row r="570" ht="15.75" customHeight="1">
      <c r="I570" s="232"/>
    </row>
    <row r="571" ht="15.75" customHeight="1">
      <c r="I571" s="232"/>
    </row>
    <row r="572" ht="15.75" customHeight="1">
      <c r="I572" s="232"/>
    </row>
    <row r="573" ht="15.75" customHeight="1">
      <c r="I573" s="232"/>
    </row>
    <row r="574" ht="15.75" customHeight="1">
      <c r="I574" s="232"/>
    </row>
    <row r="575" ht="15.75" customHeight="1">
      <c r="I575" s="232"/>
    </row>
    <row r="576" ht="15.75" customHeight="1">
      <c r="I576" s="232"/>
    </row>
    <row r="577" ht="15.75" customHeight="1">
      <c r="I577" s="232"/>
    </row>
    <row r="578" ht="15.75" customHeight="1">
      <c r="I578" s="232"/>
    </row>
    <row r="579" ht="15.75" customHeight="1">
      <c r="I579" s="232"/>
    </row>
    <row r="580" ht="15.75" customHeight="1">
      <c r="I580" s="232"/>
    </row>
    <row r="581" ht="15.75" customHeight="1">
      <c r="I581" s="232"/>
    </row>
    <row r="582" ht="15.75" customHeight="1">
      <c r="I582" s="232"/>
    </row>
    <row r="583" ht="15.75" customHeight="1">
      <c r="I583" s="232"/>
    </row>
    <row r="584" ht="15.75" customHeight="1">
      <c r="I584" s="232"/>
    </row>
    <row r="585" ht="15.75" customHeight="1">
      <c r="I585" s="232"/>
    </row>
    <row r="586" ht="15.75" customHeight="1">
      <c r="I586" s="232"/>
    </row>
    <row r="587" ht="15.75" customHeight="1">
      <c r="I587" s="232"/>
    </row>
    <row r="588" ht="15.75" customHeight="1">
      <c r="I588" s="232"/>
    </row>
    <row r="589" ht="15.75" customHeight="1">
      <c r="I589" s="232"/>
    </row>
    <row r="590" ht="15.75" customHeight="1">
      <c r="I590" s="232"/>
    </row>
    <row r="591" ht="15.75" customHeight="1">
      <c r="I591" s="232"/>
    </row>
    <row r="592" ht="15.75" customHeight="1">
      <c r="I592" s="232"/>
    </row>
    <row r="593" ht="15.75" customHeight="1">
      <c r="I593" s="232"/>
    </row>
    <row r="594" ht="15.75" customHeight="1">
      <c r="I594" s="232"/>
    </row>
    <row r="595" ht="15.75" customHeight="1">
      <c r="I595" s="232"/>
    </row>
    <row r="596" ht="15.75" customHeight="1">
      <c r="I596" s="232"/>
    </row>
    <row r="597" ht="15.75" customHeight="1">
      <c r="I597" s="232"/>
    </row>
    <row r="598" ht="15.75" customHeight="1">
      <c r="I598" s="232"/>
    </row>
    <row r="599" ht="15.75" customHeight="1">
      <c r="I599" s="232"/>
    </row>
    <row r="600" ht="15.75" customHeight="1">
      <c r="I600" s="232"/>
    </row>
    <row r="601" ht="15.75" customHeight="1">
      <c r="I601" s="232"/>
    </row>
    <row r="602" ht="15.75" customHeight="1">
      <c r="I602" s="232"/>
    </row>
    <row r="603" ht="15.75" customHeight="1">
      <c r="I603" s="232"/>
    </row>
    <row r="604" ht="15.75" customHeight="1">
      <c r="I604" s="232"/>
    </row>
    <row r="605" ht="15.75" customHeight="1">
      <c r="I605" s="232"/>
    </row>
    <row r="606" ht="15.75" customHeight="1">
      <c r="I606" s="232"/>
    </row>
    <row r="607" ht="15.75" customHeight="1">
      <c r="I607" s="232"/>
    </row>
    <row r="608" ht="15.75" customHeight="1">
      <c r="I608" s="232"/>
    </row>
    <row r="609" ht="15.75" customHeight="1">
      <c r="I609" s="232"/>
    </row>
    <row r="610" ht="15.75" customHeight="1">
      <c r="I610" s="232"/>
    </row>
    <row r="611" ht="15.75" customHeight="1">
      <c r="I611" s="232"/>
    </row>
    <row r="612" ht="15.75" customHeight="1">
      <c r="I612" s="232"/>
    </row>
    <row r="613" ht="15.75" customHeight="1">
      <c r="I613" s="232"/>
    </row>
    <row r="614" ht="15.75" customHeight="1">
      <c r="I614" s="232"/>
    </row>
    <row r="615" ht="15.75" customHeight="1">
      <c r="I615" s="232"/>
    </row>
    <row r="616" ht="15.75" customHeight="1">
      <c r="I616" s="232"/>
    </row>
    <row r="617" ht="15.75" customHeight="1">
      <c r="I617" s="232"/>
    </row>
    <row r="618" ht="15.75" customHeight="1">
      <c r="I618" s="232"/>
    </row>
    <row r="619" ht="15.75" customHeight="1">
      <c r="I619" s="232"/>
    </row>
    <row r="620" ht="15.75" customHeight="1">
      <c r="I620" s="232"/>
    </row>
    <row r="621" ht="15.75" customHeight="1">
      <c r="I621" s="232"/>
    </row>
    <row r="622" ht="15.75" customHeight="1">
      <c r="I622" s="232"/>
    </row>
    <row r="623" ht="15.75" customHeight="1">
      <c r="I623" s="232"/>
    </row>
    <row r="624" ht="15.75" customHeight="1">
      <c r="I624" s="232"/>
    </row>
    <row r="625" ht="15.75" customHeight="1">
      <c r="I625" s="232"/>
    </row>
    <row r="626" ht="15.75" customHeight="1">
      <c r="I626" s="232"/>
    </row>
    <row r="627" ht="15.75" customHeight="1">
      <c r="I627" s="232"/>
    </row>
    <row r="628" ht="15.75" customHeight="1">
      <c r="I628" s="232"/>
    </row>
    <row r="629" ht="15.75" customHeight="1">
      <c r="I629" s="232"/>
    </row>
    <row r="630" ht="15.75" customHeight="1">
      <c r="I630" s="232"/>
    </row>
    <row r="631" ht="15.75" customHeight="1">
      <c r="I631" s="232"/>
    </row>
    <row r="632" ht="15.75" customHeight="1">
      <c r="I632" s="232"/>
    </row>
    <row r="633" ht="15.75" customHeight="1">
      <c r="I633" s="232"/>
    </row>
    <row r="634" ht="15.75" customHeight="1">
      <c r="I634" s="232"/>
    </row>
    <row r="635" ht="15.75" customHeight="1">
      <c r="I635" s="232"/>
    </row>
    <row r="636" ht="15.75" customHeight="1">
      <c r="I636" s="232"/>
    </row>
    <row r="637" ht="15.75" customHeight="1">
      <c r="I637" s="232"/>
    </row>
    <row r="638" ht="15.75" customHeight="1">
      <c r="I638" s="232"/>
    </row>
    <row r="639" ht="15.75" customHeight="1">
      <c r="I639" s="232"/>
    </row>
    <row r="640" ht="15.75" customHeight="1">
      <c r="I640" s="232"/>
    </row>
    <row r="641" ht="15.75" customHeight="1">
      <c r="I641" s="232"/>
    </row>
    <row r="642" ht="15.75" customHeight="1">
      <c r="I642" s="232"/>
    </row>
    <row r="643" ht="15.75" customHeight="1">
      <c r="I643" s="232"/>
    </row>
    <row r="644" ht="15.75" customHeight="1">
      <c r="I644" s="232"/>
    </row>
    <row r="645" ht="15.75" customHeight="1">
      <c r="I645" s="232"/>
    </row>
    <row r="646" ht="15.75" customHeight="1">
      <c r="I646" s="232"/>
    </row>
    <row r="647" ht="15.75" customHeight="1">
      <c r="I647" s="232"/>
    </row>
    <row r="648" ht="15.75" customHeight="1">
      <c r="I648" s="232"/>
    </row>
    <row r="649" ht="15.75" customHeight="1">
      <c r="I649" s="232"/>
    </row>
    <row r="650" ht="15.75" customHeight="1">
      <c r="I650" s="232"/>
    </row>
    <row r="651" ht="15.75" customHeight="1">
      <c r="I651" s="232"/>
    </row>
    <row r="652" ht="15.75" customHeight="1">
      <c r="I652" s="232"/>
    </row>
    <row r="653" ht="15.75" customHeight="1">
      <c r="I653" s="232"/>
    </row>
    <row r="654" ht="15.75" customHeight="1">
      <c r="I654" s="232"/>
    </row>
    <row r="655" ht="15.75" customHeight="1">
      <c r="I655" s="232"/>
    </row>
    <row r="656" ht="15.75" customHeight="1">
      <c r="I656" s="232"/>
    </row>
    <row r="657" ht="15.75" customHeight="1">
      <c r="I657" s="232"/>
    </row>
    <row r="658" ht="15.75" customHeight="1">
      <c r="I658" s="232"/>
    </row>
    <row r="659" ht="15.75" customHeight="1">
      <c r="I659" s="232"/>
    </row>
    <row r="660" ht="15.75" customHeight="1">
      <c r="I660" s="232"/>
    </row>
    <row r="661" ht="15.75" customHeight="1">
      <c r="I661" s="232"/>
    </row>
    <row r="662" ht="15.75" customHeight="1">
      <c r="I662" s="232"/>
    </row>
    <row r="663" ht="15.75" customHeight="1">
      <c r="I663" s="232"/>
    </row>
    <row r="664" ht="15.75" customHeight="1">
      <c r="I664" s="232"/>
    </row>
    <row r="665" ht="15.75" customHeight="1">
      <c r="I665" s="232"/>
    </row>
    <row r="666" ht="15.75" customHeight="1">
      <c r="I666" s="232"/>
    </row>
    <row r="667" ht="15.75" customHeight="1">
      <c r="I667" s="232"/>
    </row>
    <row r="668" ht="15.75" customHeight="1">
      <c r="I668" s="232"/>
    </row>
    <row r="669" ht="15.75" customHeight="1">
      <c r="I669" s="232"/>
    </row>
    <row r="670" ht="15.75" customHeight="1">
      <c r="I670" s="232"/>
    </row>
    <row r="671" ht="15.75" customHeight="1">
      <c r="I671" s="232"/>
    </row>
    <row r="672" ht="15.75" customHeight="1">
      <c r="I672" s="232"/>
    </row>
    <row r="673" ht="15.75" customHeight="1">
      <c r="I673" s="232"/>
    </row>
    <row r="674" ht="15.75" customHeight="1">
      <c r="I674" s="232"/>
    </row>
    <row r="675" ht="15.75" customHeight="1">
      <c r="I675" s="232"/>
    </row>
    <row r="676" ht="15.75" customHeight="1">
      <c r="I676" s="232"/>
    </row>
    <row r="677" ht="15.75" customHeight="1">
      <c r="I677" s="232"/>
    </row>
    <row r="678" ht="15.75" customHeight="1">
      <c r="I678" s="232"/>
    </row>
    <row r="679" ht="15.75" customHeight="1">
      <c r="I679" s="232"/>
    </row>
    <row r="680" ht="15.75" customHeight="1">
      <c r="I680" s="232"/>
    </row>
    <row r="681" ht="15.75" customHeight="1">
      <c r="I681" s="232"/>
    </row>
    <row r="682" ht="15.75" customHeight="1">
      <c r="I682" s="232"/>
    </row>
    <row r="683" ht="15.75" customHeight="1">
      <c r="I683" s="232"/>
    </row>
    <row r="684" ht="15.75" customHeight="1">
      <c r="I684" s="232"/>
    </row>
    <row r="685" ht="15.75" customHeight="1">
      <c r="I685" s="232"/>
    </row>
    <row r="686" ht="15.75" customHeight="1">
      <c r="I686" s="232"/>
    </row>
    <row r="687" ht="15.75" customHeight="1">
      <c r="I687" s="232"/>
    </row>
    <row r="688" ht="15.75" customHeight="1">
      <c r="I688" s="232"/>
    </row>
    <row r="689" ht="15.75" customHeight="1">
      <c r="I689" s="232"/>
    </row>
    <row r="690" ht="15.75" customHeight="1">
      <c r="I690" s="232"/>
    </row>
    <row r="691" ht="15.75" customHeight="1">
      <c r="I691" s="232"/>
    </row>
    <row r="692" ht="15.75" customHeight="1">
      <c r="I692" s="232"/>
    </row>
    <row r="693" ht="15.75" customHeight="1">
      <c r="I693" s="232"/>
    </row>
    <row r="694" ht="15.75" customHeight="1">
      <c r="I694" s="232"/>
    </row>
    <row r="695" ht="15.75" customHeight="1">
      <c r="I695" s="232"/>
    </row>
    <row r="696" ht="15.75" customHeight="1">
      <c r="I696" s="232"/>
    </row>
    <row r="697" ht="15.75" customHeight="1">
      <c r="I697" s="232"/>
    </row>
    <row r="698" ht="15.75" customHeight="1">
      <c r="I698" s="232"/>
    </row>
    <row r="699" ht="15.75" customHeight="1">
      <c r="I699" s="232"/>
    </row>
    <row r="700" ht="15.75" customHeight="1">
      <c r="I700" s="232"/>
    </row>
    <row r="701" ht="15.75" customHeight="1">
      <c r="I701" s="232"/>
    </row>
    <row r="702" ht="15.75" customHeight="1">
      <c r="I702" s="232"/>
    </row>
    <row r="703" ht="15.75" customHeight="1">
      <c r="I703" s="232"/>
    </row>
    <row r="704" ht="15.75" customHeight="1">
      <c r="I704" s="232"/>
    </row>
    <row r="705" ht="15.75" customHeight="1">
      <c r="I705" s="232"/>
    </row>
    <row r="706" ht="15.75" customHeight="1">
      <c r="I706" s="232"/>
    </row>
    <row r="707" ht="15.75" customHeight="1">
      <c r="I707" s="232"/>
    </row>
    <row r="708" ht="15.75" customHeight="1">
      <c r="I708" s="232"/>
    </row>
    <row r="709" ht="15.75" customHeight="1">
      <c r="I709" s="232"/>
    </row>
    <row r="710" ht="15.75" customHeight="1">
      <c r="I710" s="232"/>
    </row>
    <row r="711" ht="15.75" customHeight="1">
      <c r="I711" s="232"/>
    </row>
    <row r="712" ht="15.75" customHeight="1">
      <c r="I712" s="232"/>
    </row>
    <row r="713" ht="15.75" customHeight="1">
      <c r="I713" s="232"/>
    </row>
    <row r="714" ht="15.75" customHeight="1">
      <c r="I714" s="232"/>
    </row>
    <row r="715" ht="15.75" customHeight="1">
      <c r="I715" s="232"/>
    </row>
    <row r="716" ht="15.75" customHeight="1">
      <c r="I716" s="232"/>
    </row>
    <row r="717" ht="15.75" customHeight="1">
      <c r="I717" s="232"/>
    </row>
    <row r="718" ht="15.75" customHeight="1">
      <c r="I718" s="232"/>
    </row>
    <row r="719" ht="15.75" customHeight="1">
      <c r="I719" s="232"/>
    </row>
    <row r="720" ht="15.75" customHeight="1">
      <c r="I720" s="232"/>
    </row>
    <row r="721" ht="15.75" customHeight="1">
      <c r="I721" s="232"/>
    </row>
    <row r="722" ht="15.75" customHeight="1">
      <c r="I722" s="232"/>
    </row>
    <row r="723" ht="15.75" customHeight="1">
      <c r="I723" s="232"/>
    </row>
    <row r="724" ht="15.75" customHeight="1">
      <c r="I724" s="232"/>
    </row>
    <row r="725" ht="15.75" customHeight="1">
      <c r="I725" s="232"/>
    </row>
    <row r="726" ht="15.75" customHeight="1">
      <c r="I726" s="232"/>
    </row>
    <row r="727" ht="15.75" customHeight="1">
      <c r="I727" s="232"/>
    </row>
    <row r="728" ht="15.75" customHeight="1">
      <c r="I728" s="232"/>
    </row>
    <row r="729" ht="15.75" customHeight="1">
      <c r="I729" s="232"/>
    </row>
    <row r="730" ht="15.75" customHeight="1">
      <c r="I730" s="232"/>
    </row>
    <row r="731" ht="15.75" customHeight="1">
      <c r="I731" s="232"/>
    </row>
    <row r="732" ht="15.75" customHeight="1">
      <c r="I732" s="232"/>
    </row>
    <row r="733" ht="15.75" customHeight="1">
      <c r="I733" s="232"/>
    </row>
    <row r="734" ht="15.75" customHeight="1">
      <c r="I734" s="232"/>
    </row>
    <row r="735" ht="15.75" customHeight="1">
      <c r="I735" s="232"/>
    </row>
    <row r="736" ht="15.75" customHeight="1">
      <c r="I736" s="232"/>
    </row>
    <row r="737" ht="15.75" customHeight="1">
      <c r="I737" s="232"/>
    </row>
    <row r="738" ht="15.75" customHeight="1">
      <c r="I738" s="232"/>
    </row>
    <row r="739" ht="15.75" customHeight="1">
      <c r="I739" s="232"/>
    </row>
    <row r="740" ht="15.75" customHeight="1">
      <c r="I740" s="232"/>
    </row>
    <row r="741" ht="15.75" customHeight="1">
      <c r="I741" s="232"/>
    </row>
    <row r="742" ht="15.75" customHeight="1">
      <c r="I742" s="232"/>
    </row>
    <row r="743" ht="15.75" customHeight="1">
      <c r="I743" s="232"/>
    </row>
    <row r="744" ht="15.75" customHeight="1">
      <c r="I744" s="232"/>
    </row>
    <row r="745" ht="15.75" customHeight="1">
      <c r="I745" s="232"/>
    </row>
    <row r="746" ht="15.75" customHeight="1">
      <c r="I746" s="232"/>
    </row>
    <row r="747" ht="15.75" customHeight="1">
      <c r="I747" s="232"/>
    </row>
    <row r="748" ht="15.75" customHeight="1">
      <c r="I748" s="232"/>
    </row>
    <row r="749" ht="15.75" customHeight="1">
      <c r="I749" s="232"/>
    </row>
    <row r="750" ht="15.75" customHeight="1">
      <c r="I750" s="232"/>
    </row>
    <row r="751" ht="15.75" customHeight="1">
      <c r="I751" s="232"/>
    </row>
    <row r="752" ht="15.75" customHeight="1">
      <c r="I752" s="232"/>
    </row>
    <row r="753" ht="15.75" customHeight="1">
      <c r="I753" s="232"/>
    </row>
    <row r="754" ht="15.75" customHeight="1">
      <c r="I754" s="232"/>
    </row>
    <row r="755" ht="15.75" customHeight="1">
      <c r="I755" s="232"/>
    </row>
    <row r="756" ht="15.75" customHeight="1">
      <c r="I756" s="232"/>
    </row>
    <row r="757" ht="15.75" customHeight="1">
      <c r="I757" s="232"/>
    </row>
    <row r="758" ht="15.75" customHeight="1">
      <c r="I758" s="232"/>
    </row>
    <row r="759" ht="15.75" customHeight="1">
      <c r="I759" s="232"/>
    </row>
    <row r="760" ht="15.75" customHeight="1">
      <c r="I760" s="232"/>
    </row>
    <row r="761" ht="15.75" customHeight="1">
      <c r="I761" s="232"/>
    </row>
    <row r="762" ht="15.75" customHeight="1">
      <c r="I762" s="232"/>
    </row>
    <row r="763" ht="15.75" customHeight="1">
      <c r="I763" s="232"/>
    </row>
    <row r="764" ht="15.75" customHeight="1">
      <c r="I764" s="232"/>
    </row>
    <row r="765" ht="15.75" customHeight="1">
      <c r="I765" s="232"/>
    </row>
    <row r="766" ht="15.75" customHeight="1">
      <c r="I766" s="232"/>
    </row>
    <row r="767" ht="15.75" customHeight="1">
      <c r="I767" s="232"/>
    </row>
    <row r="768" ht="15.75" customHeight="1">
      <c r="I768" s="232"/>
    </row>
    <row r="769" ht="15.75" customHeight="1">
      <c r="I769" s="232"/>
    </row>
    <row r="770" ht="15.75" customHeight="1">
      <c r="I770" s="232"/>
    </row>
    <row r="771" ht="15.75" customHeight="1">
      <c r="I771" s="232"/>
    </row>
    <row r="772" ht="15.75" customHeight="1">
      <c r="I772" s="232"/>
    </row>
    <row r="773" ht="15.75" customHeight="1">
      <c r="I773" s="232"/>
    </row>
    <row r="774" ht="15.75" customHeight="1">
      <c r="I774" s="232"/>
    </row>
    <row r="775" ht="15.75" customHeight="1">
      <c r="I775" s="232"/>
    </row>
    <row r="776" ht="15.75" customHeight="1">
      <c r="I776" s="232"/>
    </row>
    <row r="777" ht="15.75" customHeight="1">
      <c r="I777" s="232"/>
    </row>
    <row r="778" ht="15.75" customHeight="1">
      <c r="I778" s="232"/>
    </row>
    <row r="779" ht="15.75" customHeight="1">
      <c r="I779" s="232"/>
    </row>
    <row r="780" ht="15.75" customHeight="1">
      <c r="I780" s="232"/>
    </row>
    <row r="781" ht="15.75" customHeight="1">
      <c r="I781" s="232"/>
    </row>
    <row r="782" ht="15.75" customHeight="1">
      <c r="I782" s="232"/>
    </row>
    <row r="783" ht="15.75" customHeight="1">
      <c r="I783" s="232"/>
    </row>
    <row r="784" ht="15.75" customHeight="1">
      <c r="I784" s="232"/>
    </row>
    <row r="785" ht="15.75" customHeight="1">
      <c r="I785" s="232"/>
    </row>
    <row r="786" ht="15.75" customHeight="1">
      <c r="I786" s="232"/>
    </row>
    <row r="787" ht="15.75" customHeight="1">
      <c r="I787" s="232"/>
    </row>
    <row r="788" ht="15.75" customHeight="1">
      <c r="I788" s="232"/>
    </row>
    <row r="789" ht="15.75" customHeight="1">
      <c r="I789" s="232"/>
    </row>
    <row r="790" ht="15.75" customHeight="1">
      <c r="I790" s="232"/>
    </row>
    <row r="791" ht="15.75" customHeight="1">
      <c r="I791" s="232"/>
    </row>
    <row r="792" ht="15.75" customHeight="1">
      <c r="I792" s="232"/>
    </row>
    <row r="793" ht="15.75" customHeight="1">
      <c r="I793" s="232"/>
    </row>
    <row r="794" ht="15.75" customHeight="1">
      <c r="I794" s="232"/>
    </row>
    <row r="795" ht="15.75" customHeight="1">
      <c r="I795" s="232"/>
    </row>
    <row r="796" ht="15.75" customHeight="1">
      <c r="I796" s="232"/>
    </row>
    <row r="797" ht="15.75" customHeight="1">
      <c r="I797" s="232"/>
    </row>
    <row r="798" ht="15.75" customHeight="1">
      <c r="I798" s="232"/>
    </row>
    <row r="799" ht="15.75" customHeight="1">
      <c r="I799" s="232"/>
    </row>
    <row r="800" ht="15.75" customHeight="1">
      <c r="I800" s="232"/>
    </row>
    <row r="801" ht="15.75" customHeight="1">
      <c r="I801" s="232"/>
    </row>
    <row r="802" ht="15.75" customHeight="1">
      <c r="I802" s="232"/>
    </row>
    <row r="803" ht="15.75" customHeight="1">
      <c r="I803" s="232"/>
    </row>
    <row r="804" ht="15.75" customHeight="1">
      <c r="I804" s="232"/>
    </row>
    <row r="805" ht="15.75" customHeight="1">
      <c r="I805" s="232"/>
    </row>
    <row r="806" ht="15.75" customHeight="1">
      <c r="I806" s="232"/>
    </row>
    <row r="807" ht="15.75" customHeight="1">
      <c r="I807" s="232"/>
    </row>
    <row r="808" ht="15.75" customHeight="1">
      <c r="I808" s="232"/>
    </row>
    <row r="809" ht="15.75" customHeight="1">
      <c r="I809" s="232"/>
    </row>
    <row r="810" ht="15.75" customHeight="1">
      <c r="I810" s="232"/>
    </row>
    <row r="811" ht="15.75" customHeight="1">
      <c r="I811" s="232"/>
    </row>
    <row r="812" ht="15.75" customHeight="1">
      <c r="I812" s="232"/>
    </row>
    <row r="813" ht="15.75" customHeight="1">
      <c r="I813" s="232"/>
    </row>
    <row r="814" ht="15.75" customHeight="1">
      <c r="I814" s="232"/>
    </row>
    <row r="815" ht="15.75" customHeight="1">
      <c r="I815" s="232"/>
    </row>
    <row r="816" ht="15.75" customHeight="1">
      <c r="I816" s="232"/>
    </row>
    <row r="817" ht="15.75" customHeight="1">
      <c r="I817" s="232"/>
    </row>
    <row r="818" ht="15.75" customHeight="1">
      <c r="I818" s="232"/>
    </row>
  </sheetData>
  <mergeCells count="2">
    <mergeCell ref="A23:B24"/>
    <mergeCell ref="A25:B26"/>
  </mergeCells>
  <conditionalFormatting sqref="B21">
    <cfRule type="cellIs" dxfId="3" priority="1" operator="lessThan">
      <formula>0</formula>
    </cfRule>
  </conditionalFormatting>
  <conditionalFormatting sqref="B21">
    <cfRule type="cellIs" dxfId="4" priority="2" operator="greaterThanOrEqual">
      <formula>0.1</formula>
    </cfRule>
  </conditionalFormatting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3.56"/>
    <col customWidth="1" min="2" max="2" width="16.56"/>
    <col customWidth="1" min="3" max="3" width="8.78"/>
    <col customWidth="1" min="4" max="4" width="4.22"/>
    <col customWidth="1" min="5" max="5" width="34.44"/>
    <col customWidth="1" min="6" max="6" width="6.56"/>
    <col customWidth="1" min="7" max="7" width="3.56"/>
    <col customWidth="1" min="8" max="8" width="4.33"/>
    <col customWidth="1" min="9" max="9" width="9.0"/>
    <col customWidth="1" min="10" max="11" width="4.11"/>
    <col customWidth="1" min="12" max="12" width="3.56"/>
    <col customWidth="1" min="13" max="13" width="6.22"/>
    <col customWidth="1" min="14" max="14" width="4.44"/>
    <col customWidth="1" min="15" max="15" width="4.22"/>
    <col customWidth="1" min="16" max="16" width="4.0"/>
    <col customWidth="1" min="17" max="17" width="56.33"/>
  </cols>
  <sheetData>
    <row r="1">
      <c r="A1" s="1"/>
      <c r="B1" s="3" t="s">
        <v>3</v>
      </c>
      <c r="C1" s="3"/>
      <c r="D1" s="3" t="s">
        <v>4</v>
      </c>
      <c r="E1" s="6" t="s">
        <v>5</v>
      </c>
      <c r="F1" s="9" t="s">
        <v>6</v>
      </c>
      <c r="G1" s="12" t="s">
        <v>8</v>
      </c>
      <c r="H1" s="15" t="s">
        <v>11</v>
      </c>
      <c r="I1" s="18" t="s">
        <v>14</v>
      </c>
      <c r="J1" s="20" t="s">
        <v>17</v>
      </c>
      <c r="K1" s="20" t="s">
        <v>23</v>
      </c>
      <c r="L1" s="20" t="s">
        <v>25</v>
      </c>
      <c r="M1" s="20" t="s">
        <v>26</v>
      </c>
      <c r="N1" s="20" t="s">
        <v>27</v>
      </c>
      <c r="O1" s="20" t="s">
        <v>29</v>
      </c>
      <c r="P1" s="20" t="s">
        <v>30</v>
      </c>
      <c r="Q1" s="27" t="s">
        <v>32</v>
      </c>
      <c r="R1" s="30"/>
      <c r="S1" s="30"/>
      <c r="T1" s="30"/>
      <c r="U1" s="30"/>
      <c r="V1" s="30"/>
      <c r="W1" s="30"/>
      <c r="X1" s="30"/>
      <c r="Y1" s="30"/>
    </row>
    <row r="2">
      <c r="A2" s="36">
        <v>1.0</v>
      </c>
      <c r="B2" s="38">
        <v>46284.0</v>
      </c>
      <c r="C2" s="40" t="s">
        <v>38</v>
      </c>
      <c r="D2" s="42">
        <v>1.0</v>
      </c>
      <c r="E2" s="44" t="s">
        <v>40</v>
      </c>
      <c r="F2" s="49"/>
      <c r="G2" s="52"/>
      <c r="H2" s="54"/>
      <c r="I2" s="56">
        <v>193.0</v>
      </c>
      <c r="J2" s="58" t="s">
        <v>43</v>
      </c>
      <c r="K2" s="58" t="s">
        <v>43</v>
      </c>
      <c r="L2" s="58" t="s">
        <v>43</v>
      </c>
      <c r="M2" s="58" t="s">
        <v>51</v>
      </c>
      <c r="N2" s="58" t="s">
        <v>52</v>
      </c>
      <c r="O2" s="58" t="s">
        <v>53</v>
      </c>
      <c r="P2" s="58" t="s">
        <v>52</v>
      </c>
      <c r="Q2" s="61" t="s">
        <v>39</v>
      </c>
    </row>
    <row r="3">
      <c r="A3" s="36">
        <v>2.0</v>
      </c>
      <c r="B3" s="38">
        <v>46285.0</v>
      </c>
      <c r="C3" s="40" t="s">
        <v>59</v>
      </c>
      <c r="D3" s="42">
        <v>2.0</v>
      </c>
      <c r="E3" s="44" t="s">
        <v>60</v>
      </c>
      <c r="F3" s="58"/>
      <c r="G3" s="58"/>
      <c r="H3" s="58"/>
      <c r="I3" s="56">
        <v>193.0</v>
      </c>
      <c r="J3" s="58" t="s">
        <v>43</v>
      </c>
      <c r="K3" s="58" t="s">
        <v>43</v>
      </c>
      <c r="L3" s="58" t="s">
        <v>43</v>
      </c>
      <c r="M3" s="58" t="s">
        <v>51</v>
      </c>
      <c r="N3" s="58" t="s">
        <v>52</v>
      </c>
      <c r="O3" s="58" t="s">
        <v>53</v>
      </c>
      <c r="P3" s="58" t="s">
        <v>52</v>
      </c>
      <c r="Q3" s="61" t="s">
        <v>39</v>
      </c>
    </row>
    <row r="4">
      <c r="A4" s="36">
        <v>3.0</v>
      </c>
      <c r="B4" s="38">
        <v>46286.0</v>
      </c>
      <c r="C4" s="40" t="s">
        <v>67</v>
      </c>
      <c r="D4" s="42">
        <v>3.0</v>
      </c>
      <c r="E4" s="44" t="s">
        <v>60</v>
      </c>
      <c r="F4" s="58"/>
      <c r="G4" s="58"/>
      <c r="H4" s="58"/>
      <c r="I4" s="56">
        <v>193.0</v>
      </c>
      <c r="J4" s="58" t="s">
        <v>43</v>
      </c>
      <c r="K4" s="58" t="s">
        <v>43</v>
      </c>
      <c r="L4" s="58" t="s">
        <v>43</v>
      </c>
      <c r="M4" s="58" t="s">
        <v>51</v>
      </c>
      <c r="N4" s="58" t="s">
        <v>52</v>
      </c>
      <c r="O4" s="58" t="s">
        <v>53</v>
      </c>
      <c r="P4" s="58" t="s">
        <v>52</v>
      </c>
      <c r="Q4" s="61" t="s">
        <v>39</v>
      </c>
    </row>
    <row r="5">
      <c r="A5" s="36">
        <v>4.0</v>
      </c>
      <c r="B5" s="38">
        <v>46287.0</v>
      </c>
      <c r="C5" s="40" t="s">
        <v>74</v>
      </c>
      <c r="D5" s="42">
        <v>4.0</v>
      </c>
      <c r="E5" s="44" t="s">
        <v>77</v>
      </c>
      <c r="F5" s="76" t="s">
        <v>79</v>
      </c>
      <c r="G5" s="52">
        <v>200.0</v>
      </c>
      <c r="H5" s="54">
        <v>2.3</v>
      </c>
      <c r="I5" s="56">
        <v>155.0</v>
      </c>
      <c r="J5" s="58" t="s">
        <v>43</v>
      </c>
      <c r="K5" s="58" t="s">
        <v>53</v>
      </c>
      <c r="L5" s="58" t="s">
        <v>43</v>
      </c>
      <c r="M5" s="58" t="s">
        <v>81</v>
      </c>
      <c r="N5" s="58" t="s">
        <v>43</v>
      </c>
      <c r="O5" s="58" t="s">
        <v>53</v>
      </c>
      <c r="P5" s="58" t="s">
        <v>53</v>
      </c>
      <c r="Q5" s="88" t="s">
        <v>86</v>
      </c>
    </row>
    <row r="6">
      <c r="A6" s="36">
        <v>5.0</v>
      </c>
      <c r="B6" s="38">
        <v>46288.0</v>
      </c>
      <c r="C6" s="40" t="s">
        <v>97</v>
      </c>
      <c r="D6" s="42">
        <v>5.0</v>
      </c>
      <c r="E6" s="90" t="s">
        <v>98</v>
      </c>
      <c r="F6" s="76" t="s">
        <v>79</v>
      </c>
      <c r="G6" s="52">
        <v>360.0</v>
      </c>
      <c r="H6" s="54">
        <v>6.0</v>
      </c>
      <c r="I6" s="56">
        <v>91.0</v>
      </c>
      <c r="J6" s="58" t="s">
        <v>43</v>
      </c>
      <c r="K6" s="58" t="s">
        <v>53</v>
      </c>
      <c r="L6" s="58" t="s">
        <v>43</v>
      </c>
      <c r="M6" s="58" t="s">
        <v>81</v>
      </c>
      <c r="N6" s="58" t="s">
        <v>43</v>
      </c>
      <c r="O6" s="58" t="s">
        <v>53</v>
      </c>
      <c r="P6" s="58" t="s">
        <v>43</v>
      </c>
      <c r="Q6" s="88" t="s">
        <v>105</v>
      </c>
    </row>
    <row r="7">
      <c r="A7" s="36">
        <v>6.0</v>
      </c>
      <c r="B7" s="38">
        <v>46289.0</v>
      </c>
      <c r="C7" s="40" t="s">
        <v>110</v>
      </c>
      <c r="D7" s="42">
        <v>6.0</v>
      </c>
      <c r="E7" s="94" t="s">
        <v>111</v>
      </c>
      <c r="F7" s="76" t="s">
        <v>79</v>
      </c>
      <c r="G7" s="52">
        <v>150.0</v>
      </c>
      <c r="H7" s="54">
        <v>2.15</v>
      </c>
      <c r="I7" s="56">
        <v>160.0</v>
      </c>
      <c r="J7" s="58" t="s">
        <v>43</v>
      </c>
      <c r="K7" s="58" t="s">
        <v>43</v>
      </c>
      <c r="L7" s="58" t="s">
        <v>53</v>
      </c>
      <c r="M7" s="58" t="s">
        <v>51</v>
      </c>
      <c r="N7" s="58" t="s">
        <v>53</v>
      </c>
      <c r="O7" s="58" t="s">
        <v>43</v>
      </c>
      <c r="P7" s="58" t="s">
        <v>43</v>
      </c>
      <c r="Q7" s="61" t="s">
        <v>117</v>
      </c>
    </row>
    <row r="8">
      <c r="A8" s="36">
        <v>7.0</v>
      </c>
      <c r="B8" s="38">
        <v>46290.0</v>
      </c>
      <c r="C8" s="40" t="s">
        <v>120</v>
      </c>
      <c r="D8" s="42">
        <v>7.0</v>
      </c>
      <c r="E8" s="44" t="s">
        <v>123</v>
      </c>
      <c r="F8" s="76" t="s">
        <v>79</v>
      </c>
      <c r="G8" s="52">
        <v>165.0</v>
      </c>
      <c r="H8" s="54">
        <v>3.0</v>
      </c>
      <c r="I8" s="56">
        <v>285.0</v>
      </c>
      <c r="J8" s="58" t="s">
        <v>43</v>
      </c>
      <c r="K8" s="58" t="s">
        <v>43</v>
      </c>
      <c r="L8" s="58" t="s">
        <v>43</v>
      </c>
      <c r="M8" s="58" t="s">
        <v>127</v>
      </c>
      <c r="N8" s="58" t="s">
        <v>53</v>
      </c>
      <c r="O8" s="58" t="s">
        <v>43</v>
      </c>
      <c r="P8" s="58" t="s">
        <v>43</v>
      </c>
      <c r="Q8" s="97" t="s">
        <v>130</v>
      </c>
    </row>
    <row r="9">
      <c r="A9" s="36">
        <v>8.0</v>
      </c>
      <c r="B9" s="38">
        <v>46291.0</v>
      </c>
      <c r="C9" s="40" t="s">
        <v>132</v>
      </c>
      <c r="D9" s="42">
        <v>8.0</v>
      </c>
      <c r="E9" s="44" t="s">
        <v>134</v>
      </c>
      <c r="F9" s="76" t="s">
        <v>79</v>
      </c>
      <c r="G9" s="52">
        <v>30.0</v>
      </c>
      <c r="H9" s="54">
        <v>0.3</v>
      </c>
      <c r="I9" s="56">
        <v>285.0</v>
      </c>
      <c r="J9" s="58" t="s">
        <v>43</v>
      </c>
      <c r="K9" s="58" t="s">
        <v>43</v>
      </c>
      <c r="L9" s="58" t="s">
        <v>43</v>
      </c>
      <c r="M9" s="58" t="s">
        <v>127</v>
      </c>
      <c r="N9" s="58" t="s">
        <v>53</v>
      </c>
      <c r="O9" s="58" t="s">
        <v>43</v>
      </c>
      <c r="P9" s="58" t="s">
        <v>43</v>
      </c>
      <c r="Q9" s="97" t="s">
        <v>130</v>
      </c>
    </row>
    <row r="10">
      <c r="A10" s="36">
        <v>9.0</v>
      </c>
      <c r="B10" s="38">
        <v>46292.0</v>
      </c>
      <c r="C10" s="40" t="s">
        <v>148</v>
      </c>
      <c r="D10" s="42">
        <v>9.0</v>
      </c>
      <c r="E10" s="44" t="s">
        <v>149</v>
      </c>
      <c r="F10" s="76" t="s">
        <v>79</v>
      </c>
      <c r="G10" s="58"/>
      <c r="H10" s="58"/>
      <c r="I10" s="56">
        <v>285.0</v>
      </c>
      <c r="J10" s="58" t="s">
        <v>43</v>
      </c>
      <c r="K10" s="58" t="s">
        <v>43</v>
      </c>
      <c r="L10" s="58" t="s">
        <v>43</v>
      </c>
      <c r="M10" s="58" t="s">
        <v>127</v>
      </c>
      <c r="N10" s="58" t="s">
        <v>53</v>
      </c>
      <c r="O10" s="58" t="s">
        <v>43</v>
      </c>
      <c r="P10" s="58" t="s">
        <v>43</v>
      </c>
      <c r="Q10" s="97" t="s">
        <v>130</v>
      </c>
    </row>
    <row r="11">
      <c r="A11" s="36">
        <v>10.0</v>
      </c>
      <c r="B11" s="38">
        <v>46293.0</v>
      </c>
      <c r="C11" s="40" t="s">
        <v>155</v>
      </c>
      <c r="D11" s="42">
        <v>10.0</v>
      </c>
      <c r="E11" s="44" t="s">
        <v>157</v>
      </c>
      <c r="F11" s="76" t="s">
        <v>79</v>
      </c>
      <c r="G11" s="52">
        <v>30.0</v>
      </c>
      <c r="H11" s="54">
        <v>1.0</v>
      </c>
      <c r="I11" s="56">
        <v>146.0</v>
      </c>
      <c r="J11" s="58" t="s">
        <v>43</v>
      </c>
      <c r="K11" s="58" t="s">
        <v>53</v>
      </c>
      <c r="L11" s="58" t="s">
        <v>43</v>
      </c>
      <c r="M11" s="58" t="s">
        <v>51</v>
      </c>
      <c r="N11" s="58" t="s">
        <v>43</v>
      </c>
      <c r="O11" s="58" t="s">
        <v>53</v>
      </c>
      <c r="P11" s="58" t="s">
        <v>43</v>
      </c>
      <c r="Q11" s="97" t="s">
        <v>78</v>
      </c>
    </row>
    <row r="12">
      <c r="A12" s="36">
        <v>11.0</v>
      </c>
      <c r="B12" s="38">
        <v>46294.0</v>
      </c>
      <c r="C12" s="40" t="s">
        <v>74</v>
      </c>
      <c r="D12" s="42">
        <v>11.0</v>
      </c>
      <c r="E12" s="44" t="s">
        <v>157</v>
      </c>
      <c r="F12" s="76" t="s">
        <v>79</v>
      </c>
      <c r="G12" s="58"/>
      <c r="H12" s="58"/>
      <c r="I12" s="56">
        <v>146.0</v>
      </c>
      <c r="J12" s="58" t="s">
        <v>43</v>
      </c>
      <c r="K12" s="58" t="s">
        <v>53</v>
      </c>
      <c r="L12" s="58" t="s">
        <v>43</v>
      </c>
      <c r="M12" s="58" t="s">
        <v>51</v>
      </c>
      <c r="N12" s="58" t="s">
        <v>43</v>
      </c>
      <c r="O12" s="58" t="s">
        <v>53</v>
      </c>
      <c r="P12" s="58" t="s">
        <v>43</v>
      </c>
      <c r="Q12" s="97" t="s">
        <v>78</v>
      </c>
    </row>
    <row r="13">
      <c r="A13" s="36">
        <v>12.0</v>
      </c>
      <c r="B13" s="38">
        <v>46295.0</v>
      </c>
      <c r="C13" s="40" t="s">
        <v>97</v>
      </c>
      <c r="D13" s="42">
        <v>12.0</v>
      </c>
      <c r="E13" s="44" t="s">
        <v>168</v>
      </c>
      <c r="F13" s="76" t="s">
        <v>79</v>
      </c>
      <c r="G13" s="52">
        <v>470.0</v>
      </c>
      <c r="H13" s="54">
        <v>5.3</v>
      </c>
      <c r="I13" s="56">
        <v>134.0</v>
      </c>
      <c r="J13" s="58" t="s">
        <v>43</v>
      </c>
      <c r="K13" s="58" t="s">
        <v>53</v>
      </c>
      <c r="L13" s="58" t="s">
        <v>43</v>
      </c>
      <c r="M13" s="58" t="s">
        <v>51</v>
      </c>
      <c r="N13" s="58" t="s">
        <v>43</v>
      </c>
      <c r="O13" s="58" t="s">
        <v>53</v>
      </c>
      <c r="P13" s="58" t="s">
        <v>43</v>
      </c>
      <c r="Q13" s="61" t="s">
        <v>174</v>
      </c>
    </row>
    <row r="14">
      <c r="A14" s="36">
        <v>13.0</v>
      </c>
      <c r="B14" s="38">
        <v>46296.0</v>
      </c>
      <c r="C14" s="40" t="s">
        <v>110</v>
      </c>
      <c r="D14" s="42">
        <v>13.0</v>
      </c>
      <c r="E14" s="44" t="s">
        <v>177</v>
      </c>
      <c r="F14" s="76" t="s">
        <v>79</v>
      </c>
      <c r="G14" s="52">
        <v>230.0</v>
      </c>
      <c r="H14" s="54">
        <v>3.3</v>
      </c>
      <c r="I14" s="56">
        <v>196.0</v>
      </c>
      <c r="J14" s="58" t="s">
        <v>43</v>
      </c>
      <c r="K14" s="58" t="s">
        <v>43</v>
      </c>
      <c r="L14" s="58" t="s">
        <v>43</v>
      </c>
      <c r="M14" s="58" t="s">
        <v>51</v>
      </c>
      <c r="N14" s="58" t="s">
        <v>53</v>
      </c>
      <c r="O14" s="58" t="s">
        <v>53</v>
      </c>
      <c r="P14" s="58" t="s">
        <v>43</v>
      </c>
      <c r="Q14" s="61" t="s">
        <v>93</v>
      </c>
    </row>
    <row r="15">
      <c r="A15" s="36">
        <v>14.0</v>
      </c>
      <c r="B15" s="38">
        <v>46297.0</v>
      </c>
      <c r="C15" s="40" t="s">
        <v>120</v>
      </c>
      <c r="D15" s="42">
        <v>14.0</v>
      </c>
      <c r="E15" s="44" t="s">
        <v>184</v>
      </c>
      <c r="F15" s="76" t="s">
        <v>79</v>
      </c>
      <c r="G15" s="52">
        <v>200.0</v>
      </c>
      <c r="H15" s="54">
        <v>2.3</v>
      </c>
      <c r="I15" s="56">
        <v>194.0</v>
      </c>
      <c r="J15" s="58" t="s">
        <v>43</v>
      </c>
      <c r="K15" s="58" t="s">
        <v>53</v>
      </c>
      <c r="L15" s="58" t="s">
        <v>43</v>
      </c>
      <c r="M15" s="58" t="s">
        <v>51</v>
      </c>
      <c r="N15" s="58" t="s">
        <v>43</v>
      </c>
      <c r="O15" s="58" t="s">
        <v>53</v>
      </c>
      <c r="P15" s="58" t="s">
        <v>43</v>
      </c>
      <c r="Q15" s="61" t="s">
        <v>99</v>
      </c>
    </row>
    <row r="16">
      <c r="A16" s="36">
        <v>15.0</v>
      </c>
      <c r="B16" s="38">
        <v>46298.0</v>
      </c>
      <c r="C16" s="40" t="s">
        <v>132</v>
      </c>
      <c r="D16" s="42">
        <v>15.0</v>
      </c>
      <c r="E16" s="44" t="s">
        <v>196</v>
      </c>
      <c r="F16" s="76" t="s">
        <v>79</v>
      </c>
      <c r="G16" s="52">
        <v>100.0</v>
      </c>
      <c r="H16" s="54">
        <v>1.3</v>
      </c>
      <c r="I16" s="56">
        <v>300.0</v>
      </c>
      <c r="J16" s="58" t="s">
        <v>43</v>
      </c>
      <c r="K16" s="58" t="s">
        <v>53</v>
      </c>
      <c r="L16" s="58" t="s">
        <v>43</v>
      </c>
      <c r="M16" s="58" t="s">
        <v>81</v>
      </c>
      <c r="N16" s="58" t="s">
        <v>53</v>
      </c>
      <c r="O16" s="58" t="s">
        <v>53</v>
      </c>
      <c r="P16" s="58" t="s">
        <v>53</v>
      </c>
      <c r="Q16" s="61" t="s">
        <v>203</v>
      </c>
    </row>
    <row r="17">
      <c r="A17" s="36">
        <v>16.0</v>
      </c>
      <c r="B17" s="38">
        <v>46299.0</v>
      </c>
      <c r="C17" s="40" t="s">
        <v>148</v>
      </c>
      <c r="D17" s="42">
        <v>16.0</v>
      </c>
      <c r="E17" s="44" t="s">
        <v>207</v>
      </c>
      <c r="F17" s="76" t="s">
        <v>79</v>
      </c>
      <c r="G17" s="52">
        <v>200.0</v>
      </c>
      <c r="H17" s="54">
        <v>3.0</v>
      </c>
      <c r="I17" s="56">
        <v>180.0</v>
      </c>
      <c r="J17" s="58" t="s">
        <v>43</v>
      </c>
      <c r="K17" s="58" t="s">
        <v>43</v>
      </c>
      <c r="L17" s="58" t="s">
        <v>53</v>
      </c>
      <c r="M17" s="58" t="s">
        <v>81</v>
      </c>
      <c r="N17" s="58" t="s">
        <v>43</v>
      </c>
      <c r="O17" s="58" t="s">
        <v>53</v>
      </c>
      <c r="P17" s="58" t="s">
        <v>43</v>
      </c>
      <c r="Q17" s="61" t="s">
        <v>109</v>
      </c>
    </row>
    <row r="18">
      <c r="A18" s="36">
        <v>17.0</v>
      </c>
      <c r="B18" s="38">
        <v>46300.0</v>
      </c>
      <c r="C18" s="40" t="s">
        <v>155</v>
      </c>
      <c r="D18" s="42">
        <v>17.0</v>
      </c>
      <c r="E18" s="44" t="s">
        <v>214</v>
      </c>
      <c r="F18" s="76" t="s">
        <v>79</v>
      </c>
      <c r="G18" s="58"/>
      <c r="H18" s="58"/>
      <c r="I18" s="56">
        <v>260.0</v>
      </c>
      <c r="J18" s="58" t="s">
        <v>43</v>
      </c>
      <c r="K18" s="58" t="s">
        <v>53</v>
      </c>
      <c r="L18" s="58" t="s">
        <v>53</v>
      </c>
      <c r="M18" s="58" t="s">
        <v>81</v>
      </c>
      <c r="N18" s="58" t="s">
        <v>53</v>
      </c>
      <c r="O18" s="58" t="s">
        <v>43</v>
      </c>
      <c r="P18" s="58" t="s">
        <v>53</v>
      </c>
      <c r="Q18" s="88" t="s">
        <v>224</v>
      </c>
    </row>
    <row r="19">
      <c r="A19" s="36">
        <v>18.0</v>
      </c>
      <c r="B19" s="38">
        <v>46301.0</v>
      </c>
      <c r="C19" s="40" t="s">
        <v>74</v>
      </c>
      <c r="D19" s="42">
        <v>18.0</v>
      </c>
      <c r="E19" s="44" t="s">
        <v>237</v>
      </c>
      <c r="F19" s="76" t="s">
        <v>79</v>
      </c>
      <c r="G19" s="52">
        <v>140.0</v>
      </c>
      <c r="H19" s="54">
        <v>2.0</v>
      </c>
      <c r="I19" s="56">
        <v>270.0</v>
      </c>
      <c r="J19" s="58" t="s">
        <v>43</v>
      </c>
      <c r="K19" s="58" t="s">
        <v>43</v>
      </c>
      <c r="L19" s="58" t="s">
        <v>43</v>
      </c>
      <c r="M19" s="58" t="s">
        <v>81</v>
      </c>
      <c r="N19" s="58" t="s">
        <v>53</v>
      </c>
      <c r="O19" s="58" t="s">
        <v>43</v>
      </c>
      <c r="P19" s="58" t="s">
        <v>43</v>
      </c>
      <c r="Q19" s="158" t="s">
        <v>253</v>
      </c>
    </row>
    <row r="20">
      <c r="A20" s="36">
        <v>19.0</v>
      </c>
      <c r="B20" s="38">
        <v>46302.0</v>
      </c>
      <c r="C20" s="40" t="s">
        <v>97</v>
      </c>
      <c r="D20" s="42">
        <v>19.0</v>
      </c>
      <c r="E20" s="44" t="s">
        <v>260</v>
      </c>
      <c r="F20" s="76" t="s">
        <v>79</v>
      </c>
      <c r="G20" s="58"/>
      <c r="H20" s="58"/>
      <c r="I20" s="56">
        <v>270.0</v>
      </c>
      <c r="J20" s="58" t="s">
        <v>43</v>
      </c>
      <c r="K20" s="58" t="s">
        <v>43</v>
      </c>
      <c r="L20" s="58" t="s">
        <v>43</v>
      </c>
      <c r="M20" s="58" t="s">
        <v>81</v>
      </c>
      <c r="N20" s="58" t="s">
        <v>53</v>
      </c>
      <c r="O20" s="58" t="s">
        <v>43</v>
      </c>
      <c r="P20" s="58" t="s">
        <v>43</v>
      </c>
      <c r="Q20" s="158" t="s">
        <v>253</v>
      </c>
    </row>
    <row r="21">
      <c r="A21" s="36">
        <v>20.0</v>
      </c>
      <c r="B21" s="38">
        <v>46303.0</v>
      </c>
      <c r="C21" s="40" t="s">
        <v>110</v>
      </c>
      <c r="D21" s="42">
        <v>20.0</v>
      </c>
      <c r="E21" s="44" t="s">
        <v>260</v>
      </c>
      <c r="F21" s="76" t="s">
        <v>79</v>
      </c>
      <c r="G21" s="58"/>
      <c r="H21" s="58"/>
      <c r="I21" s="56">
        <v>270.0</v>
      </c>
      <c r="J21" s="58" t="s">
        <v>43</v>
      </c>
      <c r="K21" s="58" t="s">
        <v>43</v>
      </c>
      <c r="L21" s="58" t="s">
        <v>43</v>
      </c>
      <c r="M21" s="58" t="s">
        <v>81</v>
      </c>
      <c r="N21" s="58" t="s">
        <v>53</v>
      </c>
      <c r="O21" s="58" t="s">
        <v>43</v>
      </c>
      <c r="P21" s="58" t="s">
        <v>43</v>
      </c>
      <c r="Q21" s="158" t="s">
        <v>253</v>
      </c>
    </row>
    <row r="22">
      <c r="A22" s="36">
        <v>21.0</v>
      </c>
      <c r="B22" s="38">
        <v>46304.0</v>
      </c>
      <c r="C22" s="40" t="s">
        <v>120</v>
      </c>
      <c r="D22" s="42">
        <v>21.0</v>
      </c>
      <c r="E22" s="44" t="s">
        <v>283</v>
      </c>
      <c r="F22" s="76" t="s">
        <v>79</v>
      </c>
      <c r="G22" s="52">
        <v>310.0</v>
      </c>
      <c r="H22" s="54">
        <v>4.0</v>
      </c>
      <c r="I22" s="56">
        <v>205.0</v>
      </c>
      <c r="J22" s="58" t="s">
        <v>43</v>
      </c>
      <c r="K22" s="58" t="s">
        <v>43</v>
      </c>
      <c r="L22" s="58" t="s">
        <v>43</v>
      </c>
      <c r="M22" s="58" t="s">
        <v>286</v>
      </c>
      <c r="N22" s="58" t="s">
        <v>53</v>
      </c>
      <c r="O22" s="58" t="s">
        <v>43</v>
      </c>
      <c r="P22" s="58" t="s">
        <v>43</v>
      </c>
      <c r="Q22" s="61" t="s">
        <v>290</v>
      </c>
    </row>
    <row r="23">
      <c r="A23" s="36">
        <v>22.0</v>
      </c>
      <c r="B23" s="38">
        <v>46305.0</v>
      </c>
      <c r="C23" s="40" t="s">
        <v>132</v>
      </c>
      <c r="D23" s="42">
        <v>22.0</v>
      </c>
      <c r="E23" s="44" t="s">
        <v>292</v>
      </c>
      <c r="F23" s="76" t="s">
        <v>79</v>
      </c>
      <c r="G23" s="58"/>
      <c r="H23" s="58"/>
      <c r="I23" s="56">
        <v>205.0</v>
      </c>
      <c r="J23" s="58" t="s">
        <v>43</v>
      </c>
      <c r="K23" s="58" t="s">
        <v>43</v>
      </c>
      <c r="L23" s="58" t="s">
        <v>43</v>
      </c>
      <c r="M23" s="58" t="s">
        <v>286</v>
      </c>
      <c r="N23" s="58" t="s">
        <v>53</v>
      </c>
      <c r="O23" s="58" t="s">
        <v>43</v>
      </c>
      <c r="P23" s="58" t="s">
        <v>43</v>
      </c>
      <c r="Q23" s="61" t="s">
        <v>290</v>
      </c>
    </row>
    <row r="24">
      <c r="A24" s="36">
        <v>23.0</v>
      </c>
      <c r="B24" s="38">
        <v>46306.0</v>
      </c>
      <c r="C24" s="40" t="s">
        <v>148</v>
      </c>
      <c r="D24" s="42">
        <v>23.0</v>
      </c>
      <c r="E24" s="44" t="s">
        <v>301</v>
      </c>
      <c r="F24" s="76" t="s">
        <v>79</v>
      </c>
      <c r="G24" s="52">
        <v>530.0</v>
      </c>
      <c r="H24" s="54">
        <v>6.0</v>
      </c>
      <c r="I24" s="56">
        <v>204.0</v>
      </c>
      <c r="J24" s="58" t="s">
        <v>43</v>
      </c>
      <c r="K24" s="58" t="s">
        <v>43</v>
      </c>
      <c r="L24" s="58" t="s">
        <v>43</v>
      </c>
      <c r="M24" s="58" t="s">
        <v>305</v>
      </c>
      <c r="N24" s="58" t="s">
        <v>53</v>
      </c>
      <c r="O24" s="58" t="s">
        <v>43</v>
      </c>
      <c r="P24" s="58" t="s">
        <v>43</v>
      </c>
      <c r="Q24" s="61" t="s">
        <v>307</v>
      </c>
    </row>
    <row r="25">
      <c r="A25" s="36">
        <v>24.0</v>
      </c>
      <c r="B25" s="38">
        <v>46307.0</v>
      </c>
      <c r="C25" s="40" t="s">
        <v>155</v>
      </c>
      <c r="D25" s="42">
        <v>24.0</v>
      </c>
      <c r="E25" s="44" t="s">
        <v>310</v>
      </c>
      <c r="F25" s="76" t="s">
        <v>79</v>
      </c>
      <c r="G25" s="58"/>
      <c r="H25" s="58"/>
      <c r="I25" s="56">
        <v>204.0</v>
      </c>
      <c r="J25" s="58" t="s">
        <v>43</v>
      </c>
      <c r="K25" s="58" t="s">
        <v>43</v>
      </c>
      <c r="L25" s="58" t="s">
        <v>43</v>
      </c>
      <c r="M25" s="58" t="s">
        <v>305</v>
      </c>
      <c r="N25" s="58" t="s">
        <v>53</v>
      </c>
      <c r="O25" s="58" t="s">
        <v>43</v>
      </c>
      <c r="P25" s="58" t="s">
        <v>43</v>
      </c>
      <c r="Q25" s="61" t="s">
        <v>307</v>
      </c>
    </row>
    <row r="26">
      <c r="A26" s="36">
        <v>25.0</v>
      </c>
      <c r="B26" s="38">
        <v>46308.0</v>
      </c>
      <c r="C26" s="40" t="s">
        <v>74</v>
      </c>
      <c r="D26" s="42">
        <v>25.0</v>
      </c>
      <c r="E26" s="44" t="s">
        <v>323</v>
      </c>
      <c r="F26" s="76" t="s">
        <v>79</v>
      </c>
      <c r="G26" s="52">
        <v>170.0</v>
      </c>
      <c r="H26" s="54">
        <v>3.3</v>
      </c>
      <c r="I26" s="56">
        <v>271.0</v>
      </c>
      <c r="J26" s="58" t="s">
        <v>43</v>
      </c>
      <c r="K26" s="58" t="s">
        <v>53</v>
      </c>
      <c r="L26" s="58" t="s">
        <v>43</v>
      </c>
      <c r="M26" s="58" t="s">
        <v>51</v>
      </c>
      <c r="N26" s="58" t="s">
        <v>53</v>
      </c>
      <c r="O26" s="58" t="s">
        <v>43</v>
      </c>
      <c r="P26" s="58" t="s">
        <v>43</v>
      </c>
      <c r="Q26" s="61" t="s">
        <v>146</v>
      </c>
    </row>
    <row r="27">
      <c r="A27" s="36">
        <v>26.0</v>
      </c>
      <c r="B27" s="38">
        <v>46309.0</v>
      </c>
      <c r="C27" s="40" t="s">
        <v>97</v>
      </c>
      <c r="D27" s="42">
        <v>26.0</v>
      </c>
      <c r="E27" s="44" t="s">
        <v>334</v>
      </c>
      <c r="F27" s="76" t="s">
        <v>79</v>
      </c>
      <c r="G27" s="58"/>
      <c r="H27" s="58"/>
      <c r="I27" s="56">
        <v>271.0</v>
      </c>
      <c r="J27" s="58" t="s">
        <v>43</v>
      </c>
      <c r="K27" s="58" t="s">
        <v>53</v>
      </c>
      <c r="L27" s="58" t="s">
        <v>43</v>
      </c>
      <c r="M27" s="58" t="s">
        <v>51</v>
      </c>
      <c r="N27" s="58" t="s">
        <v>53</v>
      </c>
      <c r="O27" s="58" t="s">
        <v>43</v>
      </c>
      <c r="P27" s="58" t="s">
        <v>43</v>
      </c>
      <c r="Q27" s="61" t="s">
        <v>146</v>
      </c>
    </row>
    <row r="28">
      <c r="A28" s="36">
        <v>27.0</v>
      </c>
      <c r="B28" s="38">
        <v>46310.0</v>
      </c>
      <c r="C28" s="40" t="s">
        <v>110</v>
      </c>
      <c r="D28" s="42">
        <v>27.0</v>
      </c>
      <c r="E28" s="44" t="s">
        <v>341</v>
      </c>
      <c r="F28" s="76" t="s">
        <v>79</v>
      </c>
      <c r="G28" s="52">
        <v>310.0</v>
      </c>
      <c r="H28" s="54">
        <v>4.15</v>
      </c>
      <c r="I28" s="56">
        <v>133.0</v>
      </c>
      <c r="J28" s="58" t="s">
        <v>43</v>
      </c>
      <c r="K28" s="58" t="s">
        <v>53</v>
      </c>
      <c r="L28" s="58" t="s">
        <v>43</v>
      </c>
      <c r="M28" s="58" t="s">
        <v>51</v>
      </c>
      <c r="N28" s="58" t="s">
        <v>53</v>
      </c>
      <c r="O28" s="58" t="s">
        <v>53</v>
      </c>
      <c r="P28" s="58" t="s">
        <v>53</v>
      </c>
      <c r="Q28" s="61" t="s">
        <v>346</v>
      </c>
    </row>
    <row r="29">
      <c r="A29" s="36">
        <v>28.0</v>
      </c>
      <c r="B29" s="38">
        <v>46311.0</v>
      </c>
      <c r="C29" s="40" t="s">
        <v>120</v>
      </c>
      <c r="D29" s="42">
        <v>28.0</v>
      </c>
      <c r="E29" s="44" t="s">
        <v>350</v>
      </c>
      <c r="F29" s="58"/>
      <c r="G29" s="58"/>
      <c r="H29" s="58"/>
      <c r="I29" s="56">
        <v>133.0</v>
      </c>
      <c r="J29" s="58" t="s">
        <v>43</v>
      </c>
      <c r="K29" s="58" t="s">
        <v>53</v>
      </c>
      <c r="L29" s="58" t="s">
        <v>43</v>
      </c>
      <c r="M29" s="58" t="s">
        <v>51</v>
      </c>
      <c r="N29" s="58" t="s">
        <v>53</v>
      </c>
      <c r="O29" s="58" t="s">
        <v>53</v>
      </c>
      <c r="P29" s="58" t="s">
        <v>53</v>
      </c>
      <c r="Q29" s="61" t="s">
        <v>346</v>
      </c>
      <c r="R29" s="190"/>
      <c r="S29" s="190"/>
    </row>
    <row r="30">
      <c r="A30" s="36">
        <v>29.0</v>
      </c>
      <c r="B30" s="191">
        <v>46312.0</v>
      </c>
      <c r="C30" s="192" t="s">
        <v>132</v>
      </c>
      <c r="D30" s="192">
        <v>0.0</v>
      </c>
      <c r="E30" s="195" t="s">
        <v>365</v>
      </c>
      <c r="F30" s="196"/>
      <c r="G30" s="192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0"/>
      <c r="S30" s="190"/>
    </row>
    <row r="31">
      <c r="A31" s="36">
        <v>30.0</v>
      </c>
      <c r="B31" s="38">
        <v>46313.0</v>
      </c>
      <c r="C31" s="40" t="s">
        <v>148</v>
      </c>
      <c r="D31" s="206">
        <v>1.0</v>
      </c>
      <c r="E31" s="209" t="s">
        <v>376</v>
      </c>
      <c r="F31" s="49"/>
      <c r="G31" s="206"/>
      <c r="H31" s="211"/>
      <c r="I31" s="212">
        <v>240.0</v>
      </c>
      <c r="J31" s="58" t="s">
        <v>43</v>
      </c>
      <c r="K31" s="58" t="s">
        <v>43</v>
      </c>
      <c r="L31" s="58" t="s">
        <v>53</v>
      </c>
      <c r="M31" s="58" t="s">
        <v>81</v>
      </c>
      <c r="N31" s="58" t="s">
        <v>53</v>
      </c>
      <c r="O31" s="58" t="s">
        <v>53</v>
      </c>
      <c r="P31" s="58" t="s">
        <v>43</v>
      </c>
      <c r="Q31" s="61" t="s">
        <v>383</v>
      </c>
      <c r="R31" s="190"/>
      <c r="S31" s="190"/>
    </row>
    <row r="32">
      <c r="A32" s="36">
        <v>31.0</v>
      </c>
      <c r="B32" s="38">
        <v>46314.0</v>
      </c>
      <c r="C32" s="40" t="s">
        <v>155</v>
      </c>
      <c r="D32" s="42">
        <v>2.0</v>
      </c>
      <c r="E32" s="58" t="s">
        <v>390</v>
      </c>
      <c r="F32" s="222" t="s">
        <v>393</v>
      </c>
      <c r="G32" s="58"/>
      <c r="H32" s="206" t="s">
        <v>395</v>
      </c>
      <c r="I32" s="212">
        <v>240.0</v>
      </c>
      <c r="J32" s="58" t="s">
        <v>43</v>
      </c>
      <c r="K32" s="58" t="s">
        <v>43</v>
      </c>
      <c r="L32" s="58" t="s">
        <v>53</v>
      </c>
      <c r="M32" s="58" t="s">
        <v>81</v>
      </c>
      <c r="N32" s="58" t="s">
        <v>53</v>
      </c>
      <c r="O32" s="58" t="s">
        <v>53</v>
      </c>
      <c r="P32" s="58" t="s">
        <v>43</v>
      </c>
      <c r="Q32" s="61" t="s">
        <v>383</v>
      </c>
    </row>
    <row r="33">
      <c r="A33" s="36">
        <v>32.0</v>
      </c>
      <c r="B33" s="38">
        <v>46315.0</v>
      </c>
      <c r="C33" s="40" t="s">
        <v>74</v>
      </c>
      <c r="D33" s="42">
        <v>3.0</v>
      </c>
      <c r="E33" s="58" t="s">
        <v>405</v>
      </c>
      <c r="F33" s="222" t="s">
        <v>393</v>
      </c>
      <c r="G33" s="58"/>
      <c r="H33" s="110"/>
      <c r="I33" s="227">
        <v>250.0</v>
      </c>
      <c r="J33" s="58" t="s">
        <v>43</v>
      </c>
      <c r="K33" s="58" t="s">
        <v>53</v>
      </c>
      <c r="L33" s="58" t="s">
        <v>43</v>
      </c>
      <c r="M33" s="58" t="s">
        <v>51</v>
      </c>
      <c r="N33" s="58" t="s">
        <v>53</v>
      </c>
      <c r="O33" s="58" t="s">
        <v>43</v>
      </c>
      <c r="P33" s="58" t="s">
        <v>43</v>
      </c>
      <c r="Q33" s="61" t="s">
        <v>408</v>
      </c>
    </row>
    <row r="34">
      <c r="A34" s="36">
        <v>33.0</v>
      </c>
      <c r="B34" s="38">
        <v>46316.0</v>
      </c>
      <c r="C34" s="40" t="s">
        <v>97</v>
      </c>
      <c r="D34" s="42">
        <v>4.0</v>
      </c>
      <c r="E34" s="58" t="s">
        <v>409</v>
      </c>
      <c r="F34" s="222" t="s">
        <v>393</v>
      </c>
      <c r="G34" s="58"/>
      <c r="H34" s="110"/>
      <c r="I34" s="227">
        <v>250.0</v>
      </c>
      <c r="J34" s="58" t="s">
        <v>43</v>
      </c>
      <c r="K34" s="58" t="s">
        <v>53</v>
      </c>
      <c r="L34" s="58" t="s">
        <v>43</v>
      </c>
      <c r="M34" s="58" t="s">
        <v>51</v>
      </c>
      <c r="N34" s="58" t="s">
        <v>53</v>
      </c>
      <c r="O34" s="58" t="s">
        <v>43</v>
      </c>
      <c r="P34" s="58" t="s">
        <v>43</v>
      </c>
      <c r="Q34" s="61" t="s">
        <v>408</v>
      </c>
    </row>
    <row r="35">
      <c r="A35" s="36">
        <v>34.0</v>
      </c>
      <c r="B35" s="38">
        <v>46317.0</v>
      </c>
      <c r="C35" s="40" t="s">
        <v>110</v>
      </c>
      <c r="D35" s="42">
        <v>5.0</v>
      </c>
      <c r="E35" s="58" t="s">
        <v>415</v>
      </c>
      <c r="F35" s="222" t="s">
        <v>393</v>
      </c>
      <c r="G35" s="58"/>
      <c r="H35" s="58" t="s">
        <v>419</v>
      </c>
      <c r="I35" s="227">
        <v>291.0</v>
      </c>
      <c r="J35" s="58" t="s">
        <v>43</v>
      </c>
      <c r="K35" s="58" t="s">
        <v>43</v>
      </c>
      <c r="L35" s="58" t="s">
        <v>43</v>
      </c>
      <c r="M35" s="58" t="s">
        <v>81</v>
      </c>
      <c r="N35" s="58" t="s">
        <v>43</v>
      </c>
      <c r="O35" s="58" t="s">
        <v>53</v>
      </c>
      <c r="P35" s="58" t="s">
        <v>43</v>
      </c>
      <c r="Q35" s="158" t="s">
        <v>422</v>
      </c>
    </row>
    <row r="36">
      <c r="A36" s="36">
        <v>35.0</v>
      </c>
      <c r="B36" s="38">
        <v>46318.0</v>
      </c>
      <c r="C36" s="40" t="s">
        <v>120</v>
      </c>
      <c r="D36" s="42">
        <v>6.0</v>
      </c>
      <c r="E36" s="58" t="s">
        <v>432</v>
      </c>
      <c r="F36" s="222" t="s">
        <v>393</v>
      </c>
      <c r="G36" s="58"/>
      <c r="H36" s="110"/>
      <c r="I36" s="227">
        <v>291.0</v>
      </c>
      <c r="J36" s="58" t="s">
        <v>43</v>
      </c>
      <c r="K36" s="58" t="s">
        <v>43</v>
      </c>
      <c r="L36" s="58" t="s">
        <v>43</v>
      </c>
      <c r="M36" s="58" t="s">
        <v>81</v>
      </c>
      <c r="N36" s="58" t="s">
        <v>43</v>
      </c>
      <c r="O36" s="58" t="s">
        <v>53</v>
      </c>
      <c r="P36" s="58" t="s">
        <v>43</v>
      </c>
      <c r="Q36" s="158" t="s">
        <v>422</v>
      </c>
    </row>
    <row r="37">
      <c r="A37" s="36">
        <v>36.0</v>
      </c>
      <c r="B37" s="38">
        <v>46319.0</v>
      </c>
      <c r="C37" s="40" t="s">
        <v>132</v>
      </c>
      <c r="D37" s="42">
        <v>7.0</v>
      </c>
      <c r="E37" s="58" t="s">
        <v>442</v>
      </c>
      <c r="F37" s="222" t="s">
        <v>393</v>
      </c>
      <c r="G37" s="58"/>
      <c r="H37" s="110"/>
      <c r="I37" s="227">
        <v>291.0</v>
      </c>
      <c r="J37" s="58" t="s">
        <v>43</v>
      </c>
      <c r="K37" s="58" t="s">
        <v>43</v>
      </c>
      <c r="L37" s="58" t="s">
        <v>43</v>
      </c>
      <c r="M37" s="58" t="s">
        <v>81</v>
      </c>
      <c r="N37" s="58" t="s">
        <v>43</v>
      </c>
      <c r="O37" s="58" t="s">
        <v>53</v>
      </c>
      <c r="P37" s="58" t="s">
        <v>43</v>
      </c>
      <c r="Q37" s="158" t="s">
        <v>422</v>
      </c>
    </row>
    <row r="38">
      <c r="A38" s="36">
        <v>37.0</v>
      </c>
      <c r="B38" s="38">
        <v>46320.0</v>
      </c>
      <c r="C38" s="40" t="s">
        <v>148</v>
      </c>
      <c r="D38" s="42">
        <v>8.0</v>
      </c>
      <c r="E38" s="236" t="s">
        <v>451</v>
      </c>
      <c r="F38" s="222" t="s">
        <v>393</v>
      </c>
      <c r="G38" s="58"/>
      <c r="H38" s="58" t="s">
        <v>453</v>
      </c>
      <c r="I38" s="227">
        <v>150.0</v>
      </c>
      <c r="J38" s="58" t="s">
        <v>43</v>
      </c>
      <c r="K38" s="58" t="s">
        <v>43</v>
      </c>
      <c r="L38" s="58" t="s">
        <v>43</v>
      </c>
      <c r="M38" s="58" t="s">
        <v>51</v>
      </c>
      <c r="N38" s="58" t="s">
        <v>43</v>
      </c>
      <c r="O38" s="58" t="s">
        <v>53</v>
      </c>
      <c r="P38" s="58" t="s">
        <v>43</v>
      </c>
      <c r="Q38" s="61" t="s">
        <v>458</v>
      </c>
    </row>
    <row r="39">
      <c r="A39" s="36">
        <v>38.0</v>
      </c>
      <c r="B39" s="38">
        <v>46321.0</v>
      </c>
      <c r="C39" s="40" t="s">
        <v>155</v>
      </c>
      <c r="D39" s="206">
        <v>1.0</v>
      </c>
      <c r="E39" s="209" t="s">
        <v>461</v>
      </c>
      <c r="F39" s="49"/>
      <c r="G39" s="206"/>
      <c r="H39" s="211"/>
      <c r="I39" s="238">
        <v>180.0</v>
      </c>
      <c r="J39" s="58" t="s">
        <v>43</v>
      </c>
      <c r="K39" s="58" t="s">
        <v>53</v>
      </c>
      <c r="L39" s="58" t="s">
        <v>43</v>
      </c>
      <c r="M39" s="58" t="s">
        <v>51</v>
      </c>
      <c r="N39" s="58" t="s">
        <v>53</v>
      </c>
      <c r="O39" s="58" t="s">
        <v>43</v>
      </c>
      <c r="P39" s="58" t="s">
        <v>43</v>
      </c>
      <c r="Q39" s="158" t="s">
        <v>474</v>
      </c>
    </row>
    <row r="40">
      <c r="A40" s="36">
        <v>39.0</v>
      </c>
      <c r="B40" s="38">
        <v>46322.0</v>
      </c>
      <c r="C40" s="40" t="s">
        <v>74</v>
      </c>
      <c r="D40" s="42">
        <v>2.0</v>
      </c>
      <c r="E40" s="94" t="s">
        <v>489</v>
      </c>
      <c r="F40" s="123" t="s">
        <v>393</v>
      </c>
      <c r="G40" s="123" t="s">
        <v>490</v>
      </c>
      <c r="H40" s="123" t="s">
        <v>490</v>
      </c>
      <c r="I40" s="238">
        <v>180.0</v>
      </c>
      <c r="J40" s="58" t="s">
        <v>43</v>
      </c>
      <c r="K40" s="58" t="s">
        <v>53</v>
      </c>
      <c r="L40" s="58" t="s">
        <v>43</v>
      </c>
      <c r="M40" s="58" t="s">
        <v>51</v>
      </c>
      <c r="N40" s="58" t="s">
        <v>53</v>
      </c>
      <c r="O40" s="58" t="s">
        <v>43</v>
      </c>
      <c r="P40" s="58" t="s">
        <v>43</v>
      </c>
      <c r="Q40" s="242" t="s">
        <v>474</v>
      </c>
    </row>
    <row r="41">
      <c r="A41" s="36">
        <v>40.0</v>
      </c>
      <c r="B41" s="38">
        <v>46323.0</v>
      </c>
      <c r="C41" s="40" t="s">
        <v>97</v>
      </c>
      <c r="D41" s="42">
        <v>3.0</v>
      </c>
      <c r="E41" s="94" t="s">
        <v>489</v>
      </c>
      <c r="F41" s="123" t="s">
        <v>393</v>
      </c>
      <c r="G41" s="123"/>
      <c r="H41" s="123"/>
      <c r="I41" s="238">
        <v>180.0</v>
      </c>
      <c r="J41" s="58" t="s">
        <v>43</v>
      </c>
      <c r="K41" s="58" t="s">
        <v>53</v>
      </c>
      <c r="L41" s="58" t="s">
        <v>43</v>
      </c>
      <c r="M41" s="58" t="s">
        <v>51</v>
      </c>
      <c r="N41" s="58" t="s">
        <v>53</v>
      </c>
      <c r="O41" s="58" t="s">
        <v>43</v>
      </c>
      <c r="P41" s="58" t="s">
        <v>43</v>
      </c>
      <c r="Q41" s="242" t="s">
        <v>474</v>
      </c>
    </row>
    <row r="42">
      <c r="A42" s="36">
        <v>41.0</v>
      </c>
      <c r="B42" s="38">
        <v>46324.0</v>
      </c>
      <c r="C42" s="40" t="s">
        <v>110</v>
      </c>
      <c r="D42" s="42">
        <v>4.0</v>
      </c>
      <c r="E42" s="94" t="s">
        <v>502</v>
      </c>
      <c r="F42" s="76" t="s">
        <v>79</v>
      </c>
      <c r="G42" s="42">
        <v>165.0</v>
      </c>
      <c r="H42" s="42">
        <v>2.0</v>
      </c>
      <c r="I42" s="238">
        <v>180.0</v>
      </c>
      <c r="J42" s="58" t="s">
        <v>43</v>
      </c>
      <c r="K42" s="58" t="s">
        <v>43</v>
      </c>
      <c r="L42" s="58" t="s">
        <v>43</v>
      </c>
      <c r="M42" s="58" t="s">
        <v>286</v>
      </c>
      <c r="N42" s="58" t="s">
        <v>53</v>
      </c>
      <c r="O42" s="58" t="s">
        <v>43</v>
      </c>
      <c r="P42" s="58" t="s">
        <v>43</v>
      </c>
      <c r="Q42" s="244" t="s">
        <v>506</v>
      </c>
    </row>
    <row r="43">
      <c r="A43" s="36">
        <v>42.0</v>
      </c>
      <c r="B43" s="38">
        <v>46325.0</v>
      </c>
      <c r="C43" s="40" t="s">
        <v>120</v>
      </c>
      <c r="D43" s="42">
        <v>5.0</v>
      </c>
      <c r="E43" s="94" t="s">
        <v>502</v>
      </c>
      <c r="F43" s="76" t="s">
        <v>79</v>
      </c>
      <c r="G43" s="58"/>
      <c r="H43" s="58"/>
      <c r="I43" s="238">
        <v>180.0</v>
      </c>
      <c r="J43" s="58" t="s">
        <v>43</v>
      </c>
      <c r="K43" s="58" t="s">
        <v>43</v>
      </c>
      <c r="L43" s="58" t="s">
        <v>43</v>
      </c>
      <c r="M43" s="58" t="s">
        <v>286</v>
      </c>
      <c r="N43" s="58" t="s">
        <v>53</v>
      </c>
      <c r="O43" s="58" t="s">
        <v>43</v>
      </c>
      <c r="P43" s="58" t="s">
        <v>43</v>
      </c>
      <c r="Q43" s="244" t="s">
        <v>506</v>
      </c>
    </row>
    <row r="44">
      <c r="A44" s="36">
        <v>43.0</v>
      </c>
      <c r="B44" s="38">
        <v>46326.0</v>
      </c>
      <c r="C44" s="40" t="s">
        <v>132</v>
      </c>
      <c r="D44" s="42">
        <v>6.0</v>
      </c>
      <c r="E44" s="94" t="s">
        <v>502</v>
      </c>
      <c r="F44" s="76" t="s">
        <v>79</v>
      </c>
      <c r="G44" s="58"/>
      <c r="H44" s="58"/>
      <c r="I44" s="238">
        <v>180.0</v>
      </c>
      <c r="J44" s="58" t="s">
        <v>43</v>
      </c>
      <c r="K44" s="58" t="s">
        <v>43</v>
      </c>
      <c r="L44" s="58" t="s">
        <v>43</v>
      </c>
      <c r="M44" s="58" t="s">
        <v>286</v>
      </c>
      <c r="N44" s="58" t="s">
        <v>53</v>
      </c>
      <c r="O44" s="58" t="s">
        <v>43</v>
      </c>
      <c r="P44" s="58" t="s">
        <v>43</v>
      </c>
      <c r="Q44" s="244" t="s">
        <v>506</v>
      </c>
    </row>
    <row r="45">
      <c r="A45" s="36">
        <v>44.0</v>
      </c>
      <c r="B45" s="38">
        <v>46327.0</v>
      </c>
      <c r="C45" s="40" t="s">
        <v>148</v>
      </c>
      <c r="D45" s="42">
        <v>7.0</v>
      </c>
      <c r="E45" s="94" t="s">
        <v>517</v>
      </c>
      <c r="F45" s="76" t="s">
        <v>79</v>
      </c>
      <c r="G45" s="58">
        <v>120.0</v>
      </c>
      <c r="H45" s="58">
        <v>2.0</v>
      </c>
      <c r="I45" s="238">
        <v>170.0</v>
      </c>
      <c r="J45" s="58" t="s">
        <v>43</v>
      </c>
      <c r="K45" s="58" t="s">
        <v>43</v>
      </c>
      <c r="L45" s="58" t="s">
        <v>53</v>
      </c>
      <c r="M45" s="58" t="s">
        <v>51</v>
      </c>
      <c r="N45" s="58" t="s">
        <v>53</v>
      </c>
      <c r="O45" s="58" t="s">
        <v>43</v>
      </c>
      <c r="P45" s="58" t="s">
        <v>53</v>
      </c>
      <c r="Q45" s="242" t="s">
        <v>521</v>
      </c>
    </row>
    <row r="46">
      <c r="A46" s="36">
        <v>45.0</v>
      </c>
      <c r="B46" s="38">
        <v>46328.0</v>
      </c>
      <c r="C46" s="40" t="s">
        <v>155</v>
      </c>
      <c r="D46" s="42">
        <v>8.0</v>
      </c>
      <c r="E46" s="94" t="s">
        <v>528</v>
      </c>
      <c r="F46" s="76" t="s">
        <v>79</v>
      </c>
      <c r="G46" s="58">
        <v>300.0</v>
      </c>
      <c r="H46" s="58">
        <v>4.0</v>
      </c>
      <c r="I46" s="238">
        <v>180.0</v>
      </c>
      <c r="J46" s="58" t="s">
        <v>43</v>
      </c>
      <c r="K46" s="58" t="s">
        <v>43</v>
      </c>
      <c r="L46" s="58" t="s">
        <v>53</v>
      </c>
      <c r="M46" s="58" t="s">
        <v>286</v>
      </c>
      <c r="N46" s="58" t="s">
        <v>53</v>
      </c>
      <c r="O46" s="58" t="s">
        <v>43</v>
      </c>
      <c r="P46" s="58" t="s">
        <v>43</v>
      </c>
      <c r="Q46" s="94" t="s">
        <v>286</v>
      </c>
    </row>
    <row r="47">
      <c r="A47" s="36">
        <v>46.0</v>
      </c>
      <c r="B47" s="38">
        <v>46329.0</v>
      </c>
      <c r="C47" s="40" t="s">
        <v>74</v>
      </c>
      <c r="D47" s="42">
        <v>9.0</v>
      </c>
      <c r="E47" s="94" t="s">
        <v>528</v>
      </c>
      <c r="F47" s="76" t="s">
        <v>79</v>
      </c>
      <c r="G47" s="58"/>
      <c r="H47" s="58"/>
      <c r="I47" s="238">
        <v>180.0</v>
      </c>
      <c r="J47" s="58" t="s">
        <v>43</v>
      </c>
      <c r="K47" s="58" t="s">
        <v>43</v>
      </c>
      <c r="L47" s="58" t="s">
        <v>53</v>
      </c>
      <c r="M47" s="58" t="s">
        <v>286</v>
      </c>
      <c r="N47" s="58" t="s">
        <v>53</v>
      </c>
      <c r="O47" s="58" t="s">
        <v>43</v>
      </c>
      <c r="P47" s="58" t="s">
        <v>43</v>
      </c>
      <c r="Q47" s="94" t="s">
        <v>286</v>
      </c>
    </row>
    <row r="48">
      <c r="A48" s="36">
        <v>47.0</v>
      </c>
      <c r="B48" s="38">
        <v>46330.0</v>
      </c>
      <c r="C48" s="40" t="s">
        <v>97</v>
      </c>
      <c r="D48" s="42">
        <v>10.0</v>
      </c>
      <c r="E48" s="94" t="s">
        <v>536</v>
      </c>
      <c r="F48" s="76" t="s">
        <v>79</v>
      </c>
      <c r="G48" s="58">
        <v>120.0</v>
      </c>
      <c r="H48" s="58">
        <v>1.4</v>
      </c>
      <c r="I48" s="238">
        <v>180.0</v>
      </c>
      <c r="J48" s="58" t="s">
        <v>43</v>
      </c>
      <c r="K48" s="58" t="s">
        <v>43</v>
      </c>
      <c r="L48" s="58" t="s">
        <v>53</v>
      </c>
      <c r="M48" s="58" t="s">
        <v>51</v>
      </c>
      <c r="N48" s="58" t="s">
        <v>53</v>
      </c>
      <c r="O48" s="58" t="s">
        <v>43</v>
      </c>
      <c r="P48" s="58" t="s">
        <v>43</v>
      </c>
      <c r="Q48" s="242" t="s">
        <v>540</v>
      </c>
    </row>
    <row r="49">
      <c r="A49" s="36">
        <v>48.0</v>
      </c>
      <c r="B49" s="38">
        <v>46331.0</v>
      </c>
      <c r="C49" s="40" t="s">
        <v>110</v>
      </c>
      <c r="D49" s="42">
        <v>11.0</v>
      </c>
      <c r="E49" s="94" t="s">
        <v>536</v>
      </c>
      <c r="F49" s="76" t="s">
        <v>79</v>
      </c>
      <c r="G49" s="58"/>
      <c r="H49" s="58"/>
      <c r="I49" s="238">
        <v>180.0</v>
      </c>
      <c r="J49" s="58" t="s">
        <v>43</v>
      </c>
      <c r="K49" s="58" t="s">
        <v>43</v>
      </c>
      <c r="L49" s="58" t="s">
        <v>53</v>
      </c>
      <c r="M49" s="58" t="s">
        <v>51</v>
      </c>
      <c r="N49" s="58" t="s">
        <v>53</v>
      </c>
      <c r="O49" s="58" t="s">
        <v>43</v>
      </c>
      <c r="P49" s="58" t="s">
        <v>43</v>
      </c>
      <c r="Q49" s="242" t="s">
        <v>540</v>
      </c>
    </row>
    <row r="50">
      <c r="A50" s="36">
        <v>49.0</v>
      </c>
      <c r="B50" s="38">
        <v>46332.0</v>
      </c>
      <c r="C50" s="40" t="s">
        <v>120</v>
      </c>
      <c r="D50" s="42">
        <v>12.0</v>
      </c>
      <c r="E50" s="94" t="s">
        <v>550</v>
      </c>
      <c r="F50" s="76" t="s">
        <v>79</v>
      </c>
      <c r="G50" s="58"/>
      <c r="H50" s="58"/>
      <c r="I50" s="238">
        <v>180.0</v>
      </c>
      <c r="J50" s="252" t="s">
        <v>43</v>
      </c>
      <c r="K50" s="252" t="s">
        <v>43</v>
      </c>
      <c r="L50" s="252" t="s">
        <v>43</v>
      </c>
      <c r="M50" s="253" t="s">
        <v>81</v>
      </c>
      <c r="N50" s="252" t="s">
        <v>43</v>
      </c>
      <c r="O50" s="254" t="s">
        <v>43</v>
      </c>
      <c r="P50" s="255" t="s">
        <v>53</v>
      </c>
      <c r="Q50" s="242" t="s">
        <v>556</v>
      </c>
    </row>
    <row r="51">
      <c r="A51" s="36">
        <v>50.0</v>
      </c>
      <c r="B51" s="38">
        <v>46333.0</v>
      </c>
      <c r="C51" s="40" t="s">
        <v>132</v>
      </c>
      <c r="D51" s="42">
        <v>13.0</v>
      </c>
      <c r="E51" s="94" t="s">
        <v>550</v>
      </c>
      <c r="F51" s="76" t="s">
        <v>79</v>
      </c>
      <c r="G51" s="58">
        <v>80.0</v>
      </c>
      <c r="H51" s="58">
        <v>1.0</v>
      </c>
      <c r="I51" s="238">
        <v>180.0</v>
      </c>
      <c r="J51" s="252" t="s">
        <v>43</v>
      </c>
      <c r="K51" s="252" t="s">
        <v>43</v>
      </c>
      <c r="L51" s="252" t="s">
        <v>43</v>
      </c>
      <c r="M51" s="253" t="s">
        <v>81</v>
      </c>
      <c r="N51" s="252" t="s">
        <v>43</v>
      </c>
      <c r="O51" s="254" t="s">
        <v>43</v>
      </c>
      <c r="P51" s="255" t="s">
        <v>53</v>
      </c>
      <c r="Q51" s="242" t="s">
        <v>556</v>
      </c>
    </row>
    <row r="52">
      <c r="A52" s="36">
        <v>51.0</v>
      </c>
      <c r="B52" s="38">
        <v>46334.0</v>
      </c>
      <c r="C52" s="40" t="s">
        <v>148</v>
      </c>
      <c r="D52" s="206">
        <v>1.0</v>
      </c>
      <c r="E52" s="209" t="s">
        <v>564</v>
      </c>
      <c r="F52" s="49"/>
      <c r="G52" s="206"/>
      <c r="H52" s="211"/>
      <c r="I52" s="56">
        <v>128.0</v>
      </c>
      <c r="J52" s="58" t="s">
        <v>43</v>
      </c>
      <c r="K52" s="58" t="s">
        <v>53</v>
      </c>
      <c r="L52" s="252" t="s">
        <v>43</v>
      </c>
      <c r="M52" s="58" t="s">
        <v>286</v>
      </c>
      <c r="N52" s="58" t="s">
        <v>53</v>
      </c>
      <c r="O52" s="58" t="s">
        <v>43</v>
      </c>
      <c r="P52" s="58" t="s">
        <v>43</v>
      </c>
      <c r="Q52" s="158" t="s">
        <v>570</v>
      </c>
    </row>
    <row r="53">
      <c r="A53" s="36">
        <v>52.0</v>
      </c>
      <c r="B53" s="38">
        <v>46335.0</v>
      </c>
      <c r="C53" s="40" t="s">
        <v>155</v>
      </c>
      <c r="D53" s="42">
        <v>2.0</v>
      </c>
      <c r="E53" s="58" t="s">
        <v>573</v>
      </c>
      <c r="F53" s="76" t="s">
        <v>79</v>
      </c>
      <c r="G53" s="110"/>
      <c r="H53" s="259"/>
      <c r="I53" s="56">
        <v>128.0</v>
      </c>
      <c r="J53" s="58" t="s">
        <v>43</v>
      </c>
      <c r="K53" s="58" t="s">
        <v>53</v>
      </c>
      <c r="L53" s="252" t="s">
        <v>43</v>
      </c>
      <c r="M53" s="58" t="s">
        <v>286</v>
      </c>
      <c r="N53" s="58" t="s">
        <v>53</v>
      </c>
      <c r="O53" s="58" t="s">
        <v>43</v>
      </c>
      <c r="P53" s="58" t="s">
        <v>43</v>
      </c>
      <c r="Q53" s="158" t="s">
        <v>570</v>
      </c>
    </row>
    <row r="54">
      <c r="A54" s="36">
        <v>53.0</v>
      </c>
      <c r="B54" s="38">
        <v>46336.0</v>
      </c>
      <c r="C54" s="40" t="s">
        <v>74</v>
      </c>
      <c r="D54" s="42">
        <v>3.0</v>
      </c>
      <c r="E54" s="58" t="s">
        <v>573</v>
      </c>
      <c r="F54" s="76" t="s">
        <v>79</v>
      </c>
      <c r="G54" s="110"/>
      <c r="H54" s="259"/>
      <c r="I54" s="56">
        <v>128.0</v>
      </c>
      <c r="J54" s="58" t="s">
        <v>43</v>
      </c>
      <c r="K54" s="58" t="s">
        <v>53</v>
      </c>
      <c r="L54" s="252" t="s">
        <v>43</v>
      </c>
      <c r="M54" s="58" t="s">
        <v>286</v>
      </c>
      <c r="N54" s="58" t="s">
        <v>53</v>
      </c>
      <c r="O54" s="58" t="s">
        <v>43</v>
      </c>
      <c r="P54" s="58" t="s">
        <v>43</v>
      </c>
      <c r="Q54" s="158" t="s">
        <v>570</v>
      </c>
    </row>
    <row r="55">
      <c r="A55" s="36">
        <v>54.0</v>
      </c>
      <c r="B55" s="38">
        <v>46337.0</v>
      </c>
      <c r="C55" s="40" t="s">
        <v>97</v>
      </c>
      <c r="D55" s="42">
        <v>4.0</v>
      </c>
      <c r="E55" s="58" t="s">
        <v>573</v>
      </c>
      <c r="F55" s="76" t="s">
        <v>79</v>
      </c>
      <c r="G55" s="110"/>
      <c r="H55" s="259"/>
      <c r="I55" s="56">
        <v>128.0</v>
      </c>
      <c r="J55" s="58" t="s">
        <v>43</v>
      </c>
      <c r="K55" s="58" t="s">
        <v>53</v>
      </c>
      <c r="L55" s="252" t="s">
        <v>43</v>
      </c>
      <c r="M55" s="58" t="s">
        <v>286</v>
      </c>
      <c r="N55" s="58" t="s">
        <v>53</v>
      </c>
      <c r="O55" s="58" t="s">
        <v>43</v>
      </c>
      <c r="P55" s="58" t="s">
        <v>43</v>
      </c>
      <c r="Q55" s="158" t="s">
        <v>570</v>
      </c>
    </row>
    <row r="56">
      <c r="A56" s="36">
        <v>55.0</v>
      </c>
      <c r="B56" s="38">
        <v>46338.0</v>
      </c>
      <c r="C56" s="40" t="s">
        <v>110</v>
      </c>
      <c r="D56" s="42">
        <v>5.0</v>
      </c>
      <c r="E56" s="58" t="s">
        <v>573</v>
      </c>
      <c r="F56" s="76" t="s">
        <v>79</v>
      </c>
      <c r="G56" s="110"/>
      <c r="H56" s="259"/>
      <c r="I56" s="56">
        <v>128.0</v>
      </c>
      <c r="J56" s="58" t="s">
        <v>43</v>
      </c>
      <c r="K56" s="58" t="s">
        <v>53</v>
      </c>
      <c r="L56" s="252" t="s">
        <v>43</v>
      </c>
      <c r="M56" s="58" t="s">
        <v>286</v>
      </c>
      <c r="N56" s="58" t="s">
        <v>53</v>
      </c>
      <c r="O56" s="58" t="s">
        <v>43</v>
      </c>
      <c r="P56" s="58" t="s">
        <v>43</v>
      </c>
      <c r="Q56" s="158" t="s">
        <v>570</v>
      </c>
    </row>
    <row r="57">
      <c r="A57" s="36">
        <v>56.0</v>
      </c>
      <c r="B57" s="38">
        <v>46339.0</v>
      </c>
      <c r="C57" s="40" t="s">
        <v>120</v>
      </c>
      <c r="D57" s="42">
        <v>6.0</v>
      </c>
      <c r="E57" s="58" t="s">
        <v>573</v>
      </c>
      <c r="F57" s="76" t="s">
        <v>79</v>
      </c>
      <c r="G57" s="110"/>
      <c r="H57" s="259"/>
      <c r="I57" s="56">
        <v>128.0</v>
      </c>
      <c r="J57" s="58" t="s">
        <v>43</v>
      </c>
      <c r="K57" s="58" t="s">
        <v>53</v>
      </c>
      <c r="L57" s="252" t="s">
        <v>43</v>
      </c>
      <c r="M57" s="58" t="s">
        <v>286</v>
      </c>
      <c r="N57" s="58" t="s">
        <v>53</v>
      </c>
      <c r="O57" s="58" t="s">
        <v>43</v>
      </c>
      <c r="P57" s="58" t="s">
        <v>43</v>
      </c>
      <c r="Q57" s="158" t="s">
        <v>570</v>
      </c>
    </row>
    <row r="58">
      <c r="A58" s="36">
        <v>57.0</v>
      </c>
      <c r="B58" s="38">
        <v>46340.0</v>
      </c>
      <c r="C58" s="40" t="s">
        <v>132</v>
      </c>
      <c r="D58" s="42">
        <v>7.0</v>
      </c>
      <c r="E58" s="58" t="s">
        <v>573</v>
      </c>
      <c r="F58" s="76" t="s">
        <v>79</v>
      </c>
      <c r="G58" s="110"/>
      <c r="H58" s="259"/>
      <c r="I58" s="56">
        <v>128.0</v>
      </c>
      <c r="J58" s="58" t="s">
        <v>43</v>
      </c>
      <c r="K58" s="58" t="s">
        <v>53</v>
      </c>
      <c r="L58" s="252" t="s">
        <v>43</v>
      </c>
      <c r="M58" s="58" t="s">
        <v>286</v>
      </c>
      <c r="N58" s="58" t="s">
        <v>53</v>
      </c>
      <c r="O58" s="58" t="s">
        <v>43</v>
      </c>
      <c r="P58" s="58" t="s">
        <v>43</v>
      </c>
      <c r="Q58" s="158" t="s">
        <v>570</v>
      </c>
    </row>
    <row r="59">
      <c r="A59" s="36">
        <v>58.0</v>
      </c>
      <c r="B59" s="38">
        <v>46341.0</v>
      </c>
      <c r="C59" s="40" t="s">
        <v>148</v>
      </c>
      <c r="D59" s="42">
        <v>8.0</v>
      </c>
      <c r="E59" s="58" t="s">
        <v>583</v>
      </c>
      <c r="F59" s="76" t="s">
        <v>79</v>
      </c>
      <c r="G59" s="58">
        <v>120.0</v>
      </c>
      <c r="H59" s="266">
        <v>2.0</v>
      </c>
      <c r="I59" s="56">
        <v>135.0</v>
      </c>
      <c r="J59" s="58" t="s">
        <v>43</v>
      </c>
      <c r="K59" s="58" t="s">
        <v>43</v>
      </c>
      <c r="L59" s="58" t="s">
        <v>53</v>
      </c>
      <c r="M59" s="58" t="s">
        <v>51</v>
      </c>
      <c r="N59" s="58" t="s">
        <v>53</v>
      </c>
      <c r="O59" s="58" t="s">
        <v>584</v>
      </c>
      <c r="P59" s="58" t="s">
        <v>43</v>
      </c>
      <c r="Q59" s="88" t="s">
        <v>585</v>
      </c>
    </row>
    <row r="60">
      <c r="A60" s="36">
        <v>59.0</v>
      </c>
      <c r="B60" s="38">
        <v>46342.0</v>
      </c>
      <c r="C60" s="40" t="s">
        <v>155</v>
      </c>
      <c r="D60" s="42">
        <v>9.0</v>
      </c>
      <c r="E60" s="58" t="s">
        <v>586</v>
      </c>
      <c r="F60" s="76" t="s">
        <v>79</v>
      </c>
      <c r="G60" s="58">
        <v>50.0</v>
      </c>
      <c r="H60" s="266">
        <v>3.0</v>
      </c>
      <c r="I60" s="56">
        <v>126.0</v>
      </c>
      <c r="J60" s="58" t="s">
        <v>43</v>
      </c>
      <c r="K60" s="58" t="s">
        <v>43</v>
      </c>
      <c r="L60" s="58" t="s">
        <v>53</v>
      </c>
      <c r="M60" s="58" t="s">
        <v>51</v>
      </c>
      <c r="N60" s="58" t="s">
        <v>53</v>
      </c>
      <c r="O60" s="58" t="s">
        <v>584</v>
      </c>
      <c r="P60" s="58" t="s">
        <v>43</v>
      </c>
      <c r="Q60" s="88" t="s">
        <v>587</v>
      </c>
    </row>
    <row r="61">
      <c r="A61" s="36">
        <v>60.0</v>
      </c>
      <c r="B61" s="38">
        <v>46343.0</v>
      </c>
      <c r="C61" s="40" t="s">
        <v>74</v>
      </c>
      <c r="D61" s="42">
        <v>10.0</v>
      </c>
      <c r="E61" s="58" t="s">
        <v>588</v>
      </c>
      <c r="F61" s="76" t="s">
        <v>79</v>
      </c>
      <c r="G61" s="58">
        <v>100.0</v>
      </c>
      <c r="H61" s="266">
        <v>2.0</v>
      </c>
      <c r="I61" s="56">
        <v>114.0</v>
      </c>
      <c r="J61" s="58" t="s">
        <v>43</v>
      </c>
      <c r="K61" s="58" t="s">
        <v>43</v>
      </c>
      <c r="L61" s="58" t="s">
        <v>53</v>
      </c>
      <c r="M61" s="58" t="s">
        <v>51</v>
      </c>
      <c r="N61" s="58" t="s">
        <v>53</v>
      </c>
      <c r="O61" s="58" t="s">
        <v>584</v>
      </c>
      <c r="P61" s="58" t="s">
        <v>43</v>
      </c>
      <c r="Q61" s="158" t="s">
        <v>589</v>
      </c>
    </row>
    <row r="62">
      <c r="A62" s="36">
        <v>61.0</v>
      </c>
      <c r="B62" s="38">
        <v>46344.0</v>
      </c>
      <c r="C62" s="40" t="s">
        <v>97</v>
      </c>
      <c r="D62" s="206">
        <v>1.0</v>
      </c>
      <c r="E62" s="209" t="s">
        <v>590</v>
      </c>
      <c r="F62" s="49"/>
      <c r="G62" s="206"/>
      <c r="H62" s="211"/>
      <c r="I62" s="56">
        <v>244.0</v>
      </c>
      <c r="J62" s="58" t="s">
        <v>43</v>
      </c>
      <c r="K62" s="58" t="s">
        <v>53</v>
      </c>
      <c r="L62" s="58" t="s">
        <v>43</v>
      </c>
      <c r="M62" s="58" t="s">
        <v>286</v>
      </c>
      <c r="N62" s="58" t="s">
        <v>53</v>
      </c>
      <c r="O62" s="58" t="s">
        <v>43</v>
      </c>
      <c r="P62" s="58" t="s">
        <v>53</v>
      </c>
      <c r="Q62" s="158" t="s">
        <v>591</v>
      </c>
    </row>
    <row r="63">
      <c r="A63" s="36">
        <v>62.0</v>
      </c>
      <c r="B63" s="38">
        <v>46345.0</v>
      </c>
      <c r="C63" s="40" t="s">
        <v>110</v>
      </c>
      <c r="D63" s="42">
        <v>2.0</v>
      </c>
      <c r="E63" s="58" t="s">
        <v>592</v>
      </c>
      <c r="F63" s="58" t="s">
        <v>393</v>
      </c>
      <c r="G63" s="274"/>
      <c r="H63" s="275"/>
      <c r="I63" s="56">
        <v>244.0</v>
      </c>
      <c r="J63" s="58" t="s">
        <v>43</v>
      </c>
      <c r="K63" s="58" t="s">
        <v>53</v>
      </c>
      <c r="L63" s="58" t="s">
        <v>43</v>
      </c>
      <c r="M63" s="58" t="s">
        <v>286</v>
      </c>
      <c r="N63" s="58" t="s">
        <v>53</v>
      </c>
      <c r="O63" s="58" t="s">
        <v>43</v>
      </c>
      <c r="P63" s="58" t="s">
        <v>53</v>
      </c>
      <c r="Q63" s="158" t="s">
        <v>591</v>
      </c>
      <c r="R63" s="276"/>
      <c r="S63" s="276"/>
      <c r="T63" s="276"/>
      <c r="U63" s="276"/>
      <c r="V63" s="276"/>
      <c r="W63" s="276"/>
      <c r="X63" s="276"/>
      <c r="Y63" s="276"/>
    </row>
    <row r="64">
      <c r="A64" s="36">
        <v>63.0</v>
      </c>
      <c r="B64" s="38">
        <v>46346.0</v>
      </c>
      <c r="C64" s="40" t="s">
        <v>120</v>
      </c>
      <c r="D64" s="42">
        <v>3.0</v>
      </c>
      <c r="E64" s="58" t="s">
        <v>592</v>
      </c>
      <c r="F64" s="58" t="s">
        <v>393</v>
      </c>
      <c r="G64" s="274"/>
      <c r="H64" s="275"/>
      <c r="I64" s="56">
        <v>244.0</v>
      </c>
      <c r="J64" s="58" t="s">
        <v>43</v>
      </c>
      <c r="K64" s="58" t="s">
        <v>53</v>
      </c>
      <c r="L64" s="58" t="s">
        <v>43</v>
      </c>
      <c r="M64" s="58" t="s">
        <v>286</v>
      </c>
      <c r="N64" s="58" t="s">
        <v>53</v>
      </c>
      <c r="O64" s="58" t="s">
        <v>43</v>
      </c>
      <c r="P64" s="58" t="s">
        <v>53</v>
      </c>
      <c r="Q64" s="158" t="s">
        <v>591</v>
      </c>
      <c r="R64" s="276"/>
      <c r="S64" s="276"/>
      <c r="T64" s="276"/>
      <c r="U64" s="276"/>
      <c r="V64" s="276"/>
      <c r="W64" s="276"/>
      <c r="X64" s="276"/>
      <c r="Y64" s="276"/>
    </row>
    <row r="65">
      <c r="A65" s="36">
        <v>64.0</v>
      </c>
      <c r="B65" s="38">
        <v>46347.0</v>
      </c>
      <c r="C65" s="40" t="s">
        <v>132</v>
      </c>
      <c r="D65" s="42">
        <v>4.0</v>
      </c>
      <c r="E65" s="58" t="s">
        <v>592</v>
      </c>
      <c r="F65" s="58" t="s">
        <v>393</v>
      </c>
      <c r="G65" s="274"/>
      <c r="H65" s="275"/>
      <c r="I65" s="56">
        <v>244.0</v>
      </c>
      <c r="J65" s="58" t="s">
        <v>43</v>
      </c>
      <c r="K65" s="58" t="s">
        <v>53</v>
      </c>
      <c r="L65" s="58" t="s">
        <v>43</v>
      </c>
      <c r="M65" s="58" t="s">
        <v>286</v>
      </c>
      <c r="N65" s="58" t="s">
        <v>53</v>
      </c>
      <c r="O65" s="58" t="s">
        <v>43</v>
      </c>
      <c r="P65" s="58" t="s">
        <v>53</v>
      </c>
      <c r="Q65" s="158" t="s">
        <v>591</v>
      </c>
      <c r="R65" s="276"/>
      <c r="S65" s="276"/>
      <c r="T65" s="276"/>
      <c r="U65" s="276"/>
      <c r="V65" s="276"/>
      <c r="W65" s="276"/>
      <c r="X65" s="276"/>
      <c r="Y65" s="276"/>
    </row>
    <row r="66">
      <c r="A66" s="36">
        <v>65.0</v>
      </c>
      <c r="B66" s="38">
        <v>46348.0</v>
      </c>
      <c r="C66" s="40" t="s">
        <v>148</v>
      </c>
      <c r="D66" s="42">
        <v>5.0</v>
      </c>
      <c r="E66" s="58" t="s">
        <v>594</v>
      </c>
      <c r="F66" s="76" t="s">
        <v>79</v>
      </c>
      <c r="G66" s="58">
        <v>230.0</v>
      </c>
      <c r="H66" s="266">
        <v>3.0</v>
      </c>
      <c r="I66" s="279">
        <v>145.0</v>
      </c>
      <c r="J66" s="252" t="s">
        <v>43</v>
      </c>
      <c r="K66" s="252" t="s">
        <v>43</v>
      </c>
      <c r="L66" s="252" t="s">
        <v>43</v>
      </c>
      <c r="M66" s="253" t="s">
        <v>81</v>
      </c>
      <c r="N66" s="58" t="s">
        <v>53</v>
      </c>
      <c r="O66" s="254" t="s">
        <v>43</v>
      </c>
      <c r="P66" s="255" t="s">
        <v>43</v>
      </c>
      <c r="Q66" s="158" t="s">
        <v>599</v>
      </c>
      <c r="R66" s="276"/>
      <c r="S66" s="276"/>
      <c r="T66" s="276"/>
      <c r="U66" s="276"/>
      <c r="V66" s="276"/>
      <c r="W66" s="276"/>
      <c r="X66" s="276"/>
      <c r="Y66" s="276"/>
    </row>
    <row r="67">
      <c r="A67" s="36">
        <v>66.0</v>
      </c>
      <c r="B67" s="38">
        <v>46349.0</v>
      </c>
      <c r="C67" s="40" t="s">
        <v>155</v>
      </c>
      <c r="D67" s="42">
        <v>6.0</v>
      </c>
      <c r="E67" s="58" t="s">
        <v>608</v>
      </c>
      <c r="F67" s="76" t="s">
        <v>79</v>
      </c>
      <c r="G67" s="110"/>
      <c r="H67" s="266"/>
      <c r="I67" s="279">
        <v>145.0</v>
      </c>
      <c r="J67" s="293" t="s">
        <v>43</v>
      </c>
      <c r="K67" s="293" t="s">
        <v>43</v>
      </c>
      <c r="L67" s="293" t="s">
        <v>43</v>
      </c>
      <c r="M67" s="296" t="s">
        <v>81</v>
      </c>
      <c r="N67" s="123" t="s">
        <v>53</v>
      </c>
      <c r="O67" s="299" t="s">
        <v>43</v>
      </c>
      <c r="P67" s="299" t="s">
        <v>43</v>
      </c>
      <c r="Q67" s="301" t="s">
        <v>599</v>
      </c>
      <c r="R67" s="276"/>
      <c r="S67" s="276"/>
      <c r="T67" s="276"/>
      <c r="U67" s="276"/>
      <c r="V67" s="276"/>
      <c r="W67" s="276"/>
      <c r="X67" s="276"/>
      <c r="Y67" s="276"/>
    </row>
    <row r="68">
      <c r="A68" s="36">
        <v>67.0</v>
      </c>
      <c r="B68" s="38">
        <v>46350.0</v>
      </c>
      <c r="C68" s="40" t="s">
        <v>74</v>
      </c>
      <c r="D68" s="42">
        <v>7.0</v>
      </c>
      <c r="E68" s="58" t="s">
        <v>608</v>
      </c>
      <c r="F68" s="76" t="s">
        <v>79</v>
      </c>
      <c r="G68" s="58"/>
      <c r="H68" s="266"/>
      <c r="I68" s="279">
        <v>145.0</v>
      </c>
      <c r="J68" s="293" t="s">
        <v>43</v>
      </c>
      <c r="K68" s="293" t="s">
        <v>43</v>
      </c>
      <c r="L68" s="293" t="s">
        <v>43</v>
      </c>
      <c r="M68" s="296" t="s">
        <v>81</v>
      </c>
      <c r="N68" s="123" t="s">
        <v>53</v>
      </c>
      <c r="O68" s="299" t="s">
        <v>43</v>
      </c>
      <c r="P68" s="299" t="s">
        <v>43</v>
      </c>
      <c r="Q68" s="309" t="s">
        <v>599</v>
      </c>
      <c r="R68" s="276"/>
      <c r="S68" s="276"/>
      <c r="T68" s="276"/>
      <c r="U68" s="276"/>
      <c r="V68" s="276"/>
      <c r="W68" s="276"/>
      <c r="X68" s="276"/>
      <c r="Y68" s="276"/>
    </row>
    <row r="69">
      <c r="A69" s="36">
        <v>68.0</v>
      </c>
      <c r="B69" s="38">
        <v>46351.0</v>
      </c>
      <c r="C69" s="40" t="s">
        <v>97</v>
      </c>
      <c r="D69" s="42">
        <v>8.0</v>
      </c>
      <c r="E69" s="58" t="s">
        <v>634</v>
      </c>
      <c r="F69" s="76" t="s">
        <v>79</v>
      </c>
      <c r="G69" s="58">
        <v>150.0</v>
      </c>
      <c r="H69" s="266">
        <v>2.15</v>
      </c>
      <c r="I69" s="279">
        <v>115.0</v>
      </c>
      <c r="J69" s="293" t="s">
        <v>43</v>
      </c>
      <c r="K69" s="293" t="s">
        <v>43</v>
      </c>
      <c r="L69" s="293" t="s">
        <v>43</v>
      </c>
      <c r="M69" s="296" t="s">
        <v>81</v>
      </c>
      <c r="N69" s="123" t="s">
        <v>53</v>
      </c>
      <c r="O69" s="299" t="s">
        <v>43</v>
      </c>
      <c r="P69" s="299" t="s">
        <v>43</v>
      </c>
      <c r="Q69" s="301" t="s">
        <v>644</v>
      </c>
      <c r="R69" s="276"/>
      <c r="S69" s="276"/>
      <c r="T69" s="276"/>
      <c r="U69" s="276"/>
      <c r="V69" s="276"/>
      <c r="W69" s="276"/>
      <c r="X69" s="276"/>
      <c r="Y69" s="276"/>
    </row>
    <row r="70">
      <c r="A70" s="36">
        <v>69.0</v>
      </c>
      <c r="B70" s="38">
        <v>46352.0</v>
      </c>
      <c r="C70" s="40" t="s">
        <v>110</v>
      </c>
      <c r="D70" s="42">
        <v>9.0</v>
      </c>
      <c r="E70" s="58" t="s">
        <v>661</v>
      </c>
      <c r="F70" s="76" t="s">
        <v>79</v>
      </c>
      <c r="G70" s="58"/>
      <c r="H70" s="266"/>
      <c r="I70" s="279">
        <v>115.0</v>
      </c>
      <c r="J70" s="293" t="s">
        <v>43</v>
      </c>
      <c r="K70" s="293" t="s">
        <v>43</v>
      </c>
      <c r="L70" s="293" t="s">
        <v>43</v>
      </c>
      <c r="M70" s="296" t="s">
        <v>81</v>
      </c>
      <c r="N70" s="123" t="s">
        <v>53</v>
      </c>
      <c r="O70" s="299" t="s">
        <v>43</v>
      </c>
      <c r="P70" s="299" t="s">
        <v>43</v>
      </c>
      <c r="Q70" s="314" t="s">
        <v>644</v>
      </c>
      <c r="R70" s="276"/>
      <c r="S70" s="276"/>
      <c r="T70" s="276"/>
      <c r="U70" s="276"/>
      <c r="V70" s="276"/>
      <c r="W70" s="276"/>
      <c r="X70" s="276"/>
      <c r="Y70" s="276"/>
    </row>
    <row r="71">
      <c r="A71" s="36">
        <v>70.0</v>
      </c>
      <c r="B71" s="38">
        <v>46353.0</v>
      </c>
      <c r="C71" s="40" t="s">
        <v>120</v>
      </c>
      <c r="D71" s="42">
        <v>10.0</v>
      </c>
      <c r="E71" s="58" t="s">
        <v>672</v>
      </c>
      <c r="F71" s="76" t="s">
        <v>79</v>
      </c>
      <c r="G71" s="58">
        <v>140.0</v>
      </c>
      <c r="H71" s="266">
        <v>1.4</v>
      </c>
      <c r="I71" s="279">
        <v>135.0</v>
      </c>
      <c r="J71" s="293" t="s">
        <v>43</v>
      </c>
      <c r="K71" s="293" t="s">
        <v>43</v>
      </c>
      <c r="L71" s="293" t="s">
        <v>43</v>
      </c>
      <c r="M71" s="296" t="s">
        <v>81</v>
      </c>
      <c r="N71" s="123" t="s">
        <v>53</v>
      </c>
      <c r="O71" s="299" t="s">
        <v>43</v>
      </c>
      <c r="P71" s="299" t="s">
        <v>43</v>
      </c>
      <c r="Q71" s="301" t="s">
        <v>677</v>
      </c>
      <c r="R71" s="276"/>
      <c r="S71" s="276"/>
      <c r="T71" s="276"/>
      <c r="U71" s="276"/>
      <c r="V71" s="276"/>
      <c r="W71" s="276"/>
      <c r="X71" s="276"/>
      <c r="Y71" s="276"/>
    </row>
    <row r="72">
      <c r="A72" s="36">
        <v>71.0</v>
      </c>
      <c r="B72" s="38">
        <v>46354.0</v>
      </c>
      <c r="C72" s="40" t="s">
        <v>132</v>
      </c>
      <c r="D72" s="42">
        <v>11.0</v>
      </c>
      <c r="E72" s="58" t="s">
        <v>686</v>
      </c>
      <c r="F72" s="76" t="s">
        <v>79</v>
      </c>
      <c r="G72" s="58">
        <v>416.0</v>
      </c>
      <c r="H72" s="266">
        <v>5.0</v>
      </c>
      <c r="I72" s="279">
        <v>140.0</v>
      </c>
      <c r="J72" s="123" t="s">
        <v>43</v>
      </c>
      <c r="K72" s="123" t="s">
        <v>53</v>
      </c>
      <c r="L72" s="123" t="s">
        <v>43</v>
      </c>
      <c r="M72" s="123" t="s">
        <v>51</v>
      </c>
      <c r="N72" s="123" t="s">
        <v>53</v>
      </c>
      <c r="O72" s="123" t="s">
        <v>43</v>
      </c>
      <c r="P72" s="123" t="s">
        <v>43</v>
      </c>
      <c r="Q72" s="301" t="s">
        <v>691</v>
      </c>
      <c r="R72" s="276"/>
      <c r="S72" s="276"/>
      <c r="T72" s="276"/>
      <c r="U72" s="276"/>
      <c r="V72" s="276"/>
      <c r="W72" s="276"/>
      <c r="X72" s="276"/>
      <c r="Y72" s="276"/>
    </row>
    <row r="73">
      <c r="A73" s="36">
        <v>72.0</v>
      </c>
      <c r="B73" s="38">
        <v>46355.0</v>
      </c>
      <c r="C73" s="40" t="s">
        <v>148</v>
      </c>
      <c r="D73" s="42">
        <v>12.0</v>
      </c>
      <c r="E73" s="58" t="s">
        <v>704</v>
      </c>
      <c r="F73" s="76" t="s">
        <v>79</v>
      </c>
      <c r="G73" s="58">
        <v>150.0</v>
      </c>
      <c r="H73" s="266">
        <v>2.0</v>
      </c>
      <c r="I73" s="279">
        <v>200.0</v>
      </c>
      <c r="J73" s="293" t="s">
        <v>43</v>
      </c>
      <c r="K73" s="293" t="s">
        <v>43</v>
      </c>
      <c r="L73" s="293" t="s">
        <v>43</v>
      </c>
      <c r="M73" s="296" t="s">
        <v>81</v>
      </c>
      <c r="N73" s="299" t="s">
        <v>53</v>
      </c>
      <c r="O73" s="299" t="s">
        <v>43</v>
      </c>
      <c r="P73" s="299" t="s">
        <v>53</v>
      </c>
      <c r="Q73" s="301" t="s">
        <v>708</v>
      </c>
      <c r="R73" s="276"/>
      <c r="S73" s="276"/>
      <c r="T73" s="276"/>
      <c r="U73" s="276"/>
      <c r="V73" s="276"/>
      <c r="W73" s="276"/>
      <c r="X73" s="276"/>
      <c r="Y73" s="276"/>
    </row>
    <row r="74">
      <c r="A74" s="36">
        <v>73.0</v>
      </c>
      <c r="B74" s="38">
        <v>46356.0</v>
      </c>
      <c r="C74" s="40" t="s">
        <v>155</v>
      </c>
      <c r="D74" s="42">
        <v>13.0</v>
      </c>
      <c r="E74" s="58" t="s">
        <v>719</v>
      </c>
      <c r="F74" s="76" t="s">
        <v>79</v>
      </c>
      <c r="G74" s="58"/>
      <c r="H74" s="266"/>
      <c r="I74" s="279">
        <v>200.0</v>
      </c>
      <c r="J74" s="293" t="s">
        <v>43</v>
      </c>
      <c r="K74" s="293" t="s">
        <v>43</v>
      </c>
      <c r="L74" s="293" t="s">
        <v>43</v>
      </c>
      <c r="M74" s="296" t="s">
        <v>81</v>
      </c>
      <c r="N74" s="299" t="s">
        <v>53</v>
      </c>
      <c r="O74" s="299" t="s">
        <v>43</v>
      </c>
      <c r="P74" s="299" t="s">
        <v>53</v>
      </c>
      <c r="Q74" s="301" t="s">
        <v>708</v>
      </c>
      <c r="R74" s="276"/>
      <c r="S74" s="276"/>
      <c r="T74" s="276"/>
      <c r="U74" s="276"/>
      <c r="V74" s="276"/>
      <c r="W74" s="276"/>
      <c r="X74" s="276"/>
      <c r="Y74" s="276"/>
    </row>
    <row r="75">
      <c r="A75" s="36">
        <v>74.0</v>
      </c>
      <c r="B75" s="38">
        <v>46357.0</v>
      </c>
      <c r="C75" s="40" t="s">
        <v>74</v>
      </c>
      <c r="D75" s="42">
        <v>14.0</v>
      </c>
      <c r="E75" s="58" t="s">
        <v>735</v>
      </c>
      <c r="F75" s="76" t="s">
        <v>79</v>
      </c>
      <c r="G75" s="326">
        <v>250.0</v>
      </c>
      <c r="H75" s="328">
        <v>3.3</v>
      </c>
      <c r="I75" s="279">
        <v>110.0</v>
      </c>
      <c r="J75" s="293" t="s">
        <v>43</v>
      </c>
      <c r="K75" s="293" t="s">
        <v>43</v>
      </c>
      <c r="L75" s="293" t="s">
        <v>43</v>
      </c>
      <c r="M75" s="296" t="s">
        <v>81</v>
      </c>
      <c r="N75" s="299" t="s">
        <v>53</v>
      </c>
      <c r="O75" s="299" t="s">
        <v>43</v>
      </c>
      <c r="P75" s="299" t="s">
        <v>43</v>
      </c>
      <c r="Q75" s="301" t="s">
        <v>742</v>
      </c>
      <c r="R75" s="298"/>
      <c r="S75" s="276"/>
      <c r="T75" s="276"/>
      <c r="U75" s="276"/>
      <c r="V75" s="276"/>
      <c r="W75" s="276"/>
      <c r="X75" s="276"/>
      <c r="Y75" s="276"/>
    </row>
    <row r="76">
      <c r="A76" s="36">
        <v>75.0</v>
      </c>
      <c r="B76" s="38">
        <v>46358.0</v>
      </c>
      <c r="C76" s="40" t="s">
        <v>97</v>
      </c>
      <c r="D76" s="42">
        <v>15.0</v>
      </c>
      <c r="E76" s="58" t="s">
        <v>762</v>
      </c>
      <c r="F76" s="76" t="s">
        <v>79</v>
      </c>
      <c r="G76" s="326"/>
      <c r="H76" s="328"/>
      <c r="I76" s="279">
        <v>110.0</v>
      </c>
      <c r="J76" s="293" t="s">
        <v>43</v>
      </c>
      <c r="K76" s="293" t="s">
        <v>43</v>
      </c>
      <c r="L76" s="293" t="s">
        <v>43</v>
      </c>
      <c r="M76" s="296" t="s">
        <v>81</v>
      </c>
      <c r="N76" s="299" t="s">
        <v>53</v>
      </c>
      <c r="O76" s="299" t="s">
        <v>43</v>
      </c>
      <c r="P76" s="299" t="s">
        <v>43</v>
      </c>
      <c r="Q76" s="301" t="s">
        <v>742</v>
      </c>
      <c r="R76" s="298"/>
      <c r="S76" s="276"/>
      <c r="T76" s="276"/>
      <c r="U76" s="276"/>
      <c r="V76" s="276"/>
      <c r="W76" s="276"/>
      <c r="X76" s="276"/>
      <c r="Y76" s="276"/>
    </row>
    <row r="77">
      <c r="A77" s="36">
        <v>76.0</v>
      </c>
      <c r="B77" s="38">
        <v>46359.0</v>
      </c>
      <c r="C77" s="40" t="s">
        <v>110</v>
      </c>
      <c r="D77" s="42">
        <v>16.0</v>
      </c>
      <c r="E77" s="58" t="s">
        <v>762</v>
      </c>
      <c r="F77" s="76" t="s">
        <v>79</v>
      </c>
      <c r="G77" s="326">
        <v>300.0</v>
      </c>
      <c r="H77" s="328">
        <v>3.2</v>
      </c>
      <c r="I77" s="279">
        <v>110.0</v>
      </c>
      <c r="J77" s="293" t="s">
        <v>43</v>
      </c>
      <c r="K77" s="293" t="s">
        <v>43</v>
      </c>
      <c r="L77" s="293" t="s">
        <v>43</v>
      </c>
      <c r="M77" s="296" t="s">
        <v>81</v>
      </c>
      <c r="N77" s="299" t="s">
        <v>53</v>
      </c>
      <c r="O77" s="299" t="s">
        <v>43</v>
      </c>
      <c r="P77" s="299" t="s">
        <v>43</v>
      </c>
      <c r="Q77" s="309" t="s">
        <v>742</v>
      </c>
      <c r="R77" s="298"/>
      <c r="S77" s="276"/>
      <c r="T77" s="276"/>
      <c r="U77" s="276"/>
      <c r="V77" s="276"/>
      <c r="W77" s="276"/>
      <c r="X77" s="276"/>
      <c r="Y77" s="276"/>
    </row>
    <row r="78">
      <c r="A78" s="36">
        <v>77.0</v>
      </c>
      <c r="B78" s="38">
        <v>46360.0</v>
      </c>
      <c r="C78" s="40" t="s">
        <v>120</v>
      </c>
      <c r="D78" s="42">
        <v>17.0</v>
      </c>
      <c r="E78" s="58" t="s">
        <v>776</v>
      </c>
      <c r="F78" s="76" t="s">
        <v>79</v>
      </c>
      <c r="G78" s="326">
        <v>75.0</v>
      </c>
      <c r="H78" s="328">
        <v>1.2</v>
      </c>
      <c r="I78" s="279">
        <v>150.0</v>
      </c>
      <c r="J78" s="293" t="s">
        <v>43</v>
      </c>
      <c r="K78" s="293" t="s">
        <v>43</v>
      </c>
      <c r="L78" s="293" t="s">
        <v>43</v>
      </c>
      <c r="M78" s="296" t="s">
        <v>81</v>
      </c>
      <c r="N78" s="299" t="s">
        <v>53</v>
      </c>
      <c r="O78" s="299" t="s">
        <v>43</v>
      </c>
      <c r="P78" s="299" t="s">
        <v>53</v>
      </c>
      <c r="Q78" s="353" t="s">
        <v>777</v>
      </c>
      <c r="R78" s="276"/>
      <c r="S78" s="276"/>
      <c r="T78" s="276"/>
      <c r="U78" s="276"/>
      <c r="V78" s="276"/>
      <c r="W78" s="276"/>
      <c r="X78" s="276"/>
      <c r="Y78" s="276"/>
    </row>
    <row r="79">
      <c r="A79" s="36">
        <v>78.0</v>
      </c>
      <c r="B79" s="38">
        <v>46361.0</v>
      </c>
      <c r="C79" s="40" t="s">
        <v>132</v>
      </c>
      <c r="D79" s="42">
        <v>18.0</v>
      </c>
      <c r="E79" s="58" t="s">
        <v>326</v>
      </c>
      <c r="F79" s="76" t="s">
        <v>79</v>
      </c>
      <c r="G79" s="274"/>
      <c r="H79" s="275"/>
      <c r="I79" s="279">
        <v>150.0</v>
      </c>
      <c r="J79" s="293" t="s">
        <v>43</v>
      </c>
      <c r="K79" s="293" t="s">
        <v>43</v>
      </c>
      <c r="L79" s="293" t="s">
        <v>43</v>
      </c>
      <c r="M79" s="296" t="s">
        <v>81</v>
      </c>
      <c r="N79" s="299" t="s">
        <v>53</v>
      </c>
      <c r="O79" s="299" t="s">
        <v>43</v>
      </c>
      <c r="P79" s="299" t="s">
        <v>53</v>
      </c>
      <c r="Q79" s="353" t="s">
        <v>777</v>
      </c>
      <c r="R79" s="276"/>
      <c r="S79" s="276"/>
      <c r="T79" s="276"/>
      <c r="U79" s="276"/>
      <c r="V79" s="276"/>
      <c r="W79" s="276"/>
      <c r="X79" s="276"/>
      <c r="Y79" s="276"/>
    </row>
    <row r="80">
      <c r="A80" s="36">
        <v>79.0</v>
      </c>
      <c r="B80" s="38">
        <v>46362.0</v>
      </c>
      <c r="C80" s="40" t="s">
        <v>148</v>
      </c>
      <c r="D80" s="42">
        <v>19.0</v>
      </c>
      <c r="E80" s="58" t="s">
        <v>778</v>
      </c>
      <c r="F80" s="76" t="s">
        <v>79</v>
      </c>
      <c r="G80" s="326">
        <v>250.0</v>
      </c>
      <c r="H80" s="328">
        <v>3.3</v>
      </c>
      <c r="I80" s="279">
        <v>0.0</v>
      </c>
      <c r="J80" s="293" t="s">
        <v>43</v>
      </c>
      <c r="K80" s="293" t="s">
        <v>43</v>
      </c>
      <c r="L80" s="293" t="s">
        <v>43</v>
      </c>
      <c r="M80" s="296" t="s">
        <v>81</v>
      </c>
      <c r="N80" s="299" t="s">
        <v>43</v>
      </c>
      <c r="O80" s="299" t="s">
        <v>43</v>
      </c>
      <c r="P80" s="299" t="s">
        <v>53</v>
      </c>
      <c r="Q80" s="358" t="s">
        <v>780</v>
      </c>
      <c r="R80" s="276"/>
      <c r="S80" s="276"/>
      <c r="T80" s="276"/>
      <c r="U80" s="276"/>
      <c r="V80" s="276"/>
      <c r="W80" s="276"/>
      <c r="X80" s="276"/>
      <c r="Y80" s="276"/>
    </row>
    <row r="81">
      <c r="A81" s="36">
        <v>80.0</v>
      </c>
      <c r="B81" s="38">
        <v>46363.0</v>
      </c>
      <c r="C81" s="40" t="s">
        <v>155</v>
      </c>
      <c r="D81" s="42">
        <v>20.0</v>
      </c>
      <c r="E81" s="58" t="s">
        <v>786</v>
      </c>
      <c r="F81" s="76" t="s">
        <v>79</v>
      </c>
      <c r="G81" s="326"/>
      <c r="H81" s="328"/>
      <c r="I81" s="359">
        <v>0.0</v>
      </c>
      <c r="J81" s="293" t="s">
        <v>43</v>
      </c>
      <c r="K81" s="293" t="s">
        <v>43</v>
      </c>
      <c r="L81" s="293" t="s">
        <v>43</v>
      </c>
      <c r="M81" s="296" t="s">
        <v>81</v>
      </c>
      <c r="N81" s="299" t="s">
        <v>43</v>
      </c>
      <c r="O81" s="299" t="s">
        <v>43</v>
      </c>
      <c r="P81" s="299" t="s">
        <v>53</v>
      </c>
      <c r="Q81" s="358" t="s">
        <v>780</v>
      </c>
      <c r="R81" s="276"/>
      <c r="S81" s="276"/>
      <c r="T81" s="276"/>
      <c r="U81" s="276"/>
      <c r="V81" s="276"/>
      <c r="W81" s="276"/>
      <c r="X81" s="276"/>
      <c r="Y81" s="276"/>
    </row>
    <row r="82">
      <c r="A82" s="36">
        <v>81.0</v>
      </c>
      <c r="B82" s="38">
        <v>46364.0</v>
      </c>
      <c r="C82" s="40" t="s">
        <v>74</v>
      </c>
      <c r="D82" s="42">
        <v>21.0</v>
      </c>
      <c r="E82" s="58" t="s">
        <v>786</v>
      </c>
      <c r="F82" s="76" t="s">
        <v>79</v>
      </c>
      <c r="G82" s="274"/>
      <c r="H82" s="275"/>
      <c r="I82" s="359">
        <v>0.0</v>
      </c>
      <c r="J82" s="293" t="s">
        <v>43</v>
      </c>
      <c r="K82" s="293" t="s">
        <v>43</v>
      </c>
      <c r="L82" s="293" t="s">
        <v>43</v>
      </c>
      <c r="M82" s="296" t="s">
        <v>81</v>
      </c>
      <c r="N82" s="299" t="s">
        <v>43</v>
      </c>
      <c r="O82" s="299" t="s">
        <v>43</v>
      </c>
      <c r="P82" s="299" t="s">
        <v>53</v>
      </c>
      <c r="Q82" s="358" t="s">
        <v>780</v>
      </c>
      <c r="R82" s="276"/>
      <c r="S82" s="276"/>
      <c r="T82" s="276"/>
      <c r="U82" s="276"/>
      <c r="V82" s="276"/>
      <c r="W82" s="276"/>
      <c r="X82" s="276"/>
      <c r="Y82" s="276"/>
    </row>
    <row r="83">
      <c r="A83" s="36">
        <v>82.0</v>
      </c>
      <c r="B83" s="38">
        <v>46365.0</v>
      </c>
      <c r="C83" s="40" t="s">
        <v>97</v>
      </c>
      <c r="D83" s="42">
        <v>22.0</v>
      </c>
      <c r="E83" s="58" t="s">
        <v>786</v>
      </c>
      <c r="F83" s="76" t="s">
        <v>79</v>
      </c>
      <c r="G83" s="326"/>
      <c r="H83" s="328"/>
      <c r="I83" s="359">
        <v>0.0</v>
      </c>
      <c r="J83" s="293" t="s">
        <v>43</v>
      </c>
      <c r="K83" s="293" t="s">
        <v>43</v>
      </c>
      <c r="L83" s="293" t="s">
        <v>43</v>
      </c>
      <c r="M83" s="296" t="s">
        <v>81</v>
      </c>
      <c r="N83" s="299" t="s">
        <v>43</v>
      </c>
      <c r="O83" s="299" t="s">
        <v>43</v>
      </c>
      <c r="P83" s="299" t="s">
        <v>53</v>
      </c>
      <c r="Q83" s="361" t="s">
        <v>780</v>
      </c>
      <c r="R83" s="276"/>
      <c r="S83" s="276"/>
      <c r="T83" s="276"/>
      <c r="U83" s="276"/>
      <c r="V83" s="276"/>
      <c r="W83" s="276"/>
      <c r="X83" s="276"/>
      <c r="Y83" s="276"/>
    </row>
    <row r="84">
      <c r="A84" s="36">
        <v>83.0</v>
      </c>
      <c r="B84" s="38">
        <v>46366.0</v>
      </c>
      <c r="C84" s="40" t="s">
        <v>110</v>
      </c>
      <c r="D84" s="42">
        <v>23.0</v>
      </c>
      <c r="E84" s="58" t="s">
        <v>787</v>
      </c>
      <c r="F84" s="76" t="s">
        <v>79</v>
      </c>
      <c r="G84" s="58">
        <v>60.0</v>
      </c>
      <c r="H84" s="266">
        <v>1.0</v>
      </c>
      <c r="I84" s="279">
        <v>171.0</v>
      </c>
      <c r="J84" s="123" t="s">
        <v>43</v>
      </c>
      <c r="K84" s="123" t="s">
        <v>43</v>
      </c>
      <c r="L84" s="123" t="s">
        <v>53</v>
      </c>
      <c r="M84" s="123" t="s">
        <v>286</v>
      </c>
      <c r="N84" s="123" t="s">
        <v>53</v>
      </c>
      <c r="O84" s="123" t="s">
        <v>43</v>
      </c>
      <c r="P84" s="123" t="s">
        <v>43</v>
      </c>
      <c r="Q84" s="362" t="s">
        <v>788</v>
      </c>
      <c r="R84" s="276"/>
      <c r="S84" s="276"/>
      <c r="T84" s="276"/>
      <c r="U84" s="276"/>
      <c r="V84" s="276"/>
      <c r="W84" s="276"/>
      <c r="X84" s="276"/>
      <c r="Y84" s="276"/>
    </row>
    <row r="85">
      <c r="A85" s="36">
        <v>84.0</v>
      </c>
      <c r="B85" s="38">
        <v>46367.0</v>
      </c>
      <c r="C85" s="40" t="s">
        <v>120</v>
      </c>
      <c r="D85" s="42">
        <v>24.0</v>
      </c>
      <c r="E85" s="58" t="s">
        <v>789</v>
      </c>
      <c r="F85" s="76" t="s">
        <v>79</v>
      </c>
      <c r="G85" s="110"/>
      <c r="H85" s="259"/>
      <c r="I85" s="279">
        <v>171.0</v>
      </c>
      <c r="J85" s="123" t="s">
        <v>43</v>
      </c>
      <c r="K85" s="123" t="s">
        <v>43</v>
      </c>
      <c r="L85" s="123" t="s">
        <v>53</v>
      </c>
      <c r="M85" s="123" t="s">
        <v>286</v>
      </c>
      <c r="N85" s="123" t="s">
        <v>53</v>
      </c>
      <c r="O85" s="123" t="s">
        <v>43</v>
      </c>
      <c r="P85" s="123" t="s">
        <v>43</v>
      </c>
      <c r="Q85" s="361" t="s">
        <v>790</v>
      </c>
      <c r="R85" s="276"/>
      <c r="S85" s="276"/>
      <c r="T85" s="276"/>
      <c r="U85" s="276"/>
      <c r="V85" s="276"/>
      <c r="W85" s="276"/>
      <c r="X85" s="276"/>
      <c r="Y85" s="276"/>
    </row>
    <row r="86">
      <c r="A86" s="36">
        <v>85.0</v>
      </c>
      <c r="B86" s="38">
        <v>46368.0</v>
      </c>
      <c r="C86" s="40" t="s">
        <v>132</v>
      </c>
      <c r="D86" s="42">
        <v>25.0</v>
      </c>
      <c r="E86" s="58" t="s">
        <v>789</v>
      </c>
      <c r="F86" s="76" t="s">
        <v>79</v>
      </c>
      <c r="G86" s="274"/>
      <c r="H86" s="275"/>
      <c r="I86" s="279">
        <v>171.0</v>
      </c>
      <c r="J86" s="123" t="s">
        <v>43</v>
      </c>
      <c r="K86" s="123" t="s">
        <v>43</v>
      </c>
      <c r="L86" s="123" t="s">
        <v>53</v>
      </c>
      <c r="M86" s="123" t="s">
        <v>286</v>
      </c>
      <c r="N86" s="123" t="s">
        <v>53</v>
      </c>
      <c r="O86" s="123" t="s">
        <v>43</v>
      </c>
      <c r="P86" s="123" t="s">
        <v>43</v>
      </c>
      <c r="Q86" s="361" t="s">
        <v>791</v>
      </c>
    </row>
    <row r="87">
      <c r="A87" s="36">
        <v>86.0</v>
      </c>
      <c r="B87" s="38">
        <v>46369.0</v>
      </c>
      <c r="C87" s="40" t="s">
        <v>148</v>
      </c>
      <c r="D87" s="206">
        <v>1.0</v>
      </c>
      <c r="E87" s="209" t="s">
        <v>792</v>
      </c>
      <c r="F87" s="49"/>
      <c r="G87" s="206"/>
      <c r="H87" s="211"/>
      <c r="I87" s="279">
        <v>112.0</v>
      </c>
      <c r="J87" s="293" t="s">
        <v>43</v>
      </c>
      <c r="K87" s="299" t="s">
        <v>53</v>
      </c>
      <c r="L87" s="299" t="s">
        <v>43</v>
      </c>
      <c r="M87" s="299" t="s">
        <v>51</v>
      </c>
      <c r="N87" s="299" t="s">
        <v>53</v>
      </c>
      <c r="O87" s="299" t="s">
        <v>43</v>
      </c>
      <c r="P87" s="299" t="s">
        <v>53</v>
      </c>
      <c r="Q87" s="309" t="s">
        <v>793</v>
      </c>
    </row>
    <row r="88">
      <c r="A88" s="36">
        <v>87.0</v>
      </c>
      <c r="B88" s="38">
        <v>46370.0</v>
      </c>
      <c r="C88" s="40" t="s">
        <v>155</v>
      </c>
      <c r="D88" s="42">
        <v>2.0</v>
      </c>
      <c r="E88" s="363" t="s">
        <v>638</v>
      </c>
      <c r="F88" s="58" t="s">
        <v>393</v>
      </c>
      <c r="G88" s="110"/>
      <c r="H88" s="259"/>
      <c r="I88" s="279">
        <v>112.0</v>
      </c>
      <c r="J88" s="293" t="s">
        <v>43</v>
      </c>
      <c r="K88" s="299" t="s">
        <v>53</v>
      </c>
      <c r="L88" s="299" t="s">
        <v>43</v>
      </c>
      <c r="M88" s="299" t="s">
        <v>51</v>
      </c>
      <c r="N88" s="299" t="s">
        <v>53</v>
      </c>
      <c r="O88" s="299" t="s">
        <v>43</v>
      </c>
      <c r="P88" s="299" t="s">
        <v>53</v>
      </c>
      <c r="Q88" s="301" t="s">
        <v>793</v>
      </c>
    </row>
    <row r="89">
      <c r="A89" s="36">
        <v>88.0</v>
      </c>
      <c r="B89" s="38">
        <v>46371.0</v>
      </c>
      <c r="C89" s="40" t="s">
        <v>74</v>
      </c>
      <c r="D89" s="42">
        <v>3.0</v>
      </c>
      <c r="E89" s="364" t="s">
        <v>638</v>
      </c>
      <c r="F89" s="58" t="s">
        <v>393</v>
      </c>
      <c r="G89" s="110"/>
      <c r="H89" s="259"/>
      <c r="I89" s="279">
        <v>112.0</v>
      </c>
      <c r="J89" s="293" t="s">
        <v>43</v>
      </c>
      <c r="K89" s="299" t="s">
        <v>53</v>
      </c>
      <c r="L89" s="299" t="s">
        <v>43</v>
      </c>
      <c r="M89" s="299" t="s">
        <v>51</v>
      </c>
      <c r="N89" s="299" t="s">
        <v>53</v>
      </c>
      <c r="O89" s="299" t="s">
        <v>43</v>
      </c>
      <c r="P89" s="299" t="s">
        <v>53</v>
      </c>
      <c r="Q89" s="309" t="s">
        <v>793</v>
      </c>
    </row>
    <row r="90">
      <c r="A90" s="36">
        <v>89.0</v>
      </c>
      <c r="B90" s="38">
        <v>46372.0</v>
      </c>
      <c r="C90" s="40" t="s">
        <v>97</v>
      </c>
      <c r="D90" s="42">
        <v>4.0</v>
      </c>
      <c r="E90" s="58" t="s">
        <v>794</v>
      </c>
      <c r="F90" s="76" t="s">
        <v>79</v>
      </c>
      <c r="G90" s="58">
        <v>230.0</v>
      </c>
      <c r="H90" s="266">
        <v>3.0</v>
      </c>
      <c r="I90" s="279">
        <v>200.0</v>
      </c>
      <c r="J90" s="293" t="s">
        <v>43</v>
      </c>
      <c r="K90" s="299" t="s">
        <v>53</v>
      </c>
      <c r="L90" s="299" t="s">
        <v>43</v>
      </c>
      <c r="M90" s="299" t="s">
        <v>51</v>
      </c>
      <c r="N90" s="299" t="s">
        <v>53</v>
      </c>
      <c r="O90" s="299" t="s">
        <v>43</v>
      </c>
      <c r="P90" s="299" t="s">
        <v>53</v>
      </c>
      <c r="Q90" s="301" t="s">
        <v>795</v>
      </c>
    </row>
    <row r="91">
      <c r="A91" s="36">
        <v>90.0</v>
      </c>
      <c r="B91" s="38">
        <v>46373.0</v>
      </c>
      <c r="C91" s="40" t="s">
        <v>110</v>
      </c>
      <c r="D91" s="42">
        <v>5.0</v>
      </c>
      <c r="E91" s="58" t="s">
        <v>796</v>
      </c>
      <c r="F91" s="76" t="s">
        <v>79</v>
      </c>
      <c r="G91" s="58">
        <v>100.0</v>
      </c>
      <c r="H91" s="266">
        <v>1.1</v>
      </c>
      <c r="I91" s="279">
        <v>250.0</v>
      </c>
      <c r="J91" s="293" t="s">
        <v>43</v>
      </c>
      <c r="K91" s="293" t="s">
        <v>43</v>
      </c>
      <c r="L91" s="293" t="s">
        <v>43</v>
      </c>
      <c r="M91" s="296" t="s">
        <v>81</v>
      </c>
      <c r="N91" s="299" t="s">
        <v>43</v>
      </c>
      <c r="O91" s="299" t="s">
        <v>43</v>
      </c>
      <c r="P91" s="299" t="s">
        <v>53</v>
      </c>
      <c r="Q91" s="301" t="s">
        <v>797</v>
      </c>
    </row>
    <row r="92">
      <c r="A92" s="36">
        <v>91.0</v>
      </c>
      <c r="B92" s="38">
        <v>46374.0</v>
      </c>
      <c r="C92" s="40" t="s">
        <v>120</v>
      </c>
      <c r="D92" s="42">
        <v>6.0</v>
      </c>
      <c r="E92" s="58" t="s">
        <v>798</v>
      </c>
      <c r="F92" s="76" t="s">
        <v>79</v>
      </c>
      <c r="G92" s="58">
        <v>250.0</v>
      </c>
      <c r="H92" s="266">
        <v>3.0</v>
      </c>
      <c r="I92" s="279">
        <v>120.0</v>
      </c>
      <c r="J92" s="293" t="s">
        <v>43</v>
      </c>
      <c r="K92" s="293" t="s">
        <v>43</v>
      </c>
      <c r="L92" s="299" t="s">
        <v>53</v>
      </c>
      <c r="M92" s="299" t="s">
        <v>51</v>
      </c>
      <c r="N92" s="299" t="s">
        <v>43</v>
      </c>
      <c r="O92" s="299" t="s">
        <v>43</v>
      </c>
      <c r="P92" s="299" t="s">
        <v>53</v>
      </c>
      <c r="Q92" s="365" t="s">
        <v>799</v>
      </c>
    </row>
    <row r="93">
      <c r="A93" s="36">
        <v>92.0</v>
      </c>
      <c r="B93" s="38">
        <v>46375.0</v>
      </c>
      <c r="C93" s="40" t="s">
        <v>132</v>
      </c>
      <c r="D93" s="42">
        <v>7.0</v>
      </c>
      <c r="E93" s="58" t="s">
        <v>800</v>
      </c>
      <c r="F93" s="76" t="s">
        <v>79</v>
      </c>
      <c r="G93" s="58">
        <v>360.0</v>
      </c>
      <c r="H93" s="266">
        <v>4.2</v>
      </c>
      <c r="I93" s="279">
        <v>142.0</v>
      </c>
      <c r="J93" s="293" t="s">
        <v>43</v>
      </c>
      <c r="K93" s="293" t="s">
        <v>43</v>
      </c>
      <c r="L93" s="299" t="s">
        <v>53</v>
      </c>
      <c r="M93" s="299" t="s">
        <v>51</v>
      </c>
      <c r="N93" s="299" t="s">
        <v>53</v>
      </c>
      <c r="O93" s="299" t="s">
        <v>43</v>
      </c>
      <c r="P93" s="299" t="s">
        <v>53</v>
      </c>
      <c r="Q93" s="314" t="s">
        <v>801</v>
      </c>
    </row>
    <row r="94">
      <c r="A94" s="36">
        <v>93.0</v>
      </c>
      <c r="B94" s="38">
        <v>46376.0</v>
      </c>
      <c r="C94" s="40" t="s">
        <v>148</v>
      </c>
      <c r="D94" s="42">
        <v>8.0</v>
      </c>
      <c r="E94" s="58" t="s">
        <v>802</v>
      </c>
      <c r="F94" s="76" t="s">
        <v>79</v>
      </c>
      <c r="G94" s="58">
        <v>120.0</v>
      </c>
      <c r="H94" s="266">
        <v>1.3</v>
      </c>
      <c r="I94" s="279">
        <v>142.0</v>
      </c>
      <c r="J94" s="293" t="s">
        <v>43</v>
      </c>
      <c r="K94" s="293" t="s">
        <v>43</v>
      </c>
      <c r="L94" s="299" t="s">
        <v>53</v>
      </c>
      <c r="M94" s="299" t="s">
        <v>51</v>
      </c>
      <c r="N94" s="299" t="s">
        <v>53</v>
      </c>
      <c r="O94" s="299" t="s">
        <v>43</v>
      </c>
      <c r="P94" s="299" t="s">
        <v>53</v>
      </c>
      <c r="Q94" s="301" t="s">
        <v>801</v>
      </c>
    </row>
    <row r="95">
      <c r="A95" s="36">
        <v>94.0</v>
      </c>
      <c r="B95" s="38">
        <v>46377.0</v>
      </c>
      <c r="C95" s="40" t="s">
        <v>155</v>
      </c>
      <c r="D95" s="42">
        <v>9.0</v>
      </c>
      <c r="E95" s="58" t="s">
        <v>803</v>
      </c>
      <c r="F95" s="76" t="s">
        <v>79</v>
      </c>
      <c r="G95" s="58">
        <v>175.0</v>
      </c>
      <c r="H95" s="266">
        <v>2.3</v>
      </c>
      <c r="I95" s="279">
        <v>163.0</v>
      </c>
      <c r="J95" s="293" t="s">
        <v>43</v>
      </c>
      <c r="K95" s="293" t="s">
        <v>43</v>
      </c>
      <c r="L95" s="299" t="s">
        <v>53</v>
      </c>
      <c r="M95" s="296" t="s">
        <v>81</v>
      </c>
      <c r="N95" s="299" t="s">
        <v>53</v>
      </c>
      <c r="O95" s="299" t="s">
        <v>43</v>
      </c>
      <c r="P95" s="299" t="s">
        <v>53</v>
      </c>
      <c r="Q95" s="366" t="s">
        <v>804</v>
      </c>
    </row>
    <row r="96">
      <c r="A96" s="36">
        <v>95.0</v>
      </c>
      <c r="B96" s="38">
        <v>46378.0</v>
      </c>
      <c r="C96" s="40" t="s">
        <v>74</v>
      </c>
      <c r="D96" s="42">
        <v>10.0</v>
      </c>
      <c r="E96" s="58" t="s">
        <v>805</v>
      </c>
      <c r="F96" s="76" t="s">
        <v>79</v>
      </c>
      <c r="G96" s="110"/>
      <c r="H96" s="259"/>
      <c r="I96" s="279">
        <v>163.0</v>
      </c>
      <c r="J96" s="293" t="s">
        <v>43</v>
      </c>
      <c r="K96" s="293" t="s">
        <v>43</v>
      </c>
      <c r="L96" s="299" t="s">
        <v>53</v>
      </c>
      <c r="M96" s="296" t="s">
        <v>81</v>
      </c>
      <c r="N96" s="299" t="s">
        <v>53</v>
      </c>
      <c r="O96" s="299" t="s">
        <v>43</v>
      </c>
      <c r="P96" s="299" t="s">
        <v>53</v>
      </c>
      <c r="Q96" s="301" t="s">
        <v>804</v>
      </c>
    </row>
    <row r="97">
      <c r="A97" s="36">
        <v>96.0</v>
      </c>
      <c r="B97" s="38">
        <v>46379.0</v>
      </c>
      <c r="C97" s="40" t="s">
        <v>97</v>
      </c>
      <c r="D97" s="42">
        <v>11.0</v>
      </c>
      <c r="E97" s="58" t="s">
        <v>806</v>
      </c>
      <c r="F97" s="76" t="s">
        <v>79</v>
      </c>
      <c r="G97" s="58">
        <v>70.0</v>
      </c>
      <c r="H97" s="266">
        <v>1.15</v>
      </c>
      <c r="I97" s="279">
        <v>160.0</v>
      </c>
      <c r="J97" s="293" t="s">
        <v>43</v>
      </c>
      <c r="K97" s="293" t="s">
        <v>43</v>
      </c>
      <c r="L97" s="299" t="s">
        <v>53</v>
      </c>
      <c r="M97" s="299" t="s">
        <v>51</v>
      </c>
      <c r="N97" s="299" t="s">
        <v>53</v>
      </c>
      <c r="O97" s="299" t="s">
        <v>43</v>
      </c>
      <c r="P97" s="299" t="s">
        <v>53</v>
      </c>
      <c r="Q97" s="301" t="s">
        <v>808</v>
      </c>
    </row>
    <row r="98">
      <c r="A98" s="36">
        <v>97.0</v>
      </c>
      <c r="B98" s="38">
        <v>46380.0</v>
      </c>
      <c r="C98" s="40" t="s">
        <v>110</v>
      </c>
      <c r="D98" s="42">
        <v>12.0</v>
      </c>
      <c r="E98" s="58" t="s">
        <v>826</v>
      </c>
      <c r="F98" s="76" t="s">
        <v>79</v>
      </c>
      <c r="G98" s="110"/>
      <c r="H98" s="259"/>
      <c r="I98" s="279">
        <v>160.0</v>
      </c>
      <c r="J98" s="293" t="s">
        <v>43</v>
      </c>
      <c r="K98" s="293" t="s">
        <v>43</v>
      </c>
      <c r="L98" s="299" t="s">
        <v>53</v>
      </c>
      <c r="M98" s="299" t="s">
        <v>51</v>
      </c>
      <c r="N98" s="299" t="s">
        <v>53</v>
      </c>
      <c r="O98" s="299" t="s">
        <v>43</v>
      </c>
      <c r="P98" s="299" t="s">
        <v>53</v>
      </c>
      <c r="Q98" s="301" t="s">
        <v>808</v>
      </c>
    </row>
    <row r="99">
      <c r="A99" s="36">
        <v>98.0</v>
      </c>
      <c r="B99" s="38">
        <v>46381.0</v>
      </c>
      <c r="C99" s="40" t="s">
        <v>120</v>
      </c>
      <c r="D99" s="42">
        <v>13.0</v>
      </c>
      <c r="E99" s="58" t="s">
        <v>837</v>
      </c>
      <c r="F99" s="76" t="s">
        <v>79</v>
      </c>
      <c r="G99" s="58">
        <v>285.0</v>
      </c>
      <c r="H99" s="266">
        <v>4.15</v>
      </c>
      <c r="I99" s="279">
        <v>100.0</v>
      </c>
      <c r="J99" s="293" t="s">
        <v>43</v>
      </c>
      <c r="K99" s="293" t="s">
        <v>43</v>
      </c>
      <c r="L99" s="299" t="s">
        <v>43</v>
      </c>
      <c r="M99" s="296" t="s">
        <v>81</v>
      </c>
      <c r="N99" s="299" t="s">
        <v>53</v>
      </c>
      <c r="O99" s="299" t="s">
        <v>43</v>
      </c>
      <c r="P99" s="299" t="s">
        <v>53</v>
      </c>
      <c r="Q99" s="301" t="s">
        <v>845</v>
      </c>
    </row>
    <row r="100">
      <c r="A100" s="36">
        <v>99.0</v>
      </c>
      <c r="B100" s="38">
        <v>46382.0</v>
      </c>
      <c r="C100" s="40" t="s">
        <v>132</v>
      </c>
      <c r="D100" s="42">
        <v>14.0</v>
      </c>
      <c r="E100" s="58" t="s">
        <v>855</v>
      </c>
      <c r="F100" s="76" t="s">
        <v>79</v>
      </c>
      <c r="G100" s="110"/>
      <c r="H100" s="259"/>
      <c r="I100" s="279">
        <v>100.0</v>
      </c>
      <c r="J100" s="293" t="s">
        <v>43</v>
      </c>
      <c r="K100" s="293" t="s">
        <v>43</v>
      </c>
      <c r="L100" s="299" t="s">
        <v>43</v>
      </c>
      <c r="M100" s="296" t="s">
        <v>81</v>
      </c>
      <c r="N100" s="299" t="s">
        <v>53</v>
      </c>
      <c r="O100" s="299" t="s">
        <v>43</v>
      </c>
      <c r="P100" s="299" t="s">
        <v>53</v>
      </c>
      <c r="Q100" s="301" t="s">
        <v>845</v>
      </c>
    </row>
    <row r="101">
      <c r="A101" s="36">
        <v>100.0</v>
      </c>
      <c r="B101" s="38">
        <v>46383.0</v>
      </c>
      <c r="C101" s="40" t="s">
        <v>148</v>
      </c>
      <c r="D101" s="42">
        <v>15.0</v>
      </c>
      <c r="E101" s="58" t="s">
        <v>864</v>
      </c>
      <c r="F101" s="76" t="s">
        <v>79</v>
      </c>
      <c r="G101" s="58">
        <v>220.0</v>
      </c>
      <c r="H101" s="266">
        <v>3.15</v>
      </c>
      <c r="I101" s="279">
        <v>155.0</v>
      </c>
      <c r="J101" s="293" t="s">
        <v>43</v>
      </c>
      <c r="K101" s="293" t="s">
        <v>43</v>
      </c>
      <c r="L101" s="299" t="s">
        <v>53</v>
      </c>
      <c r="M101" s="299" t="s">
        <v>51</v>
      </c>
      <c r="N101" s="299" t="s">
        <v>53</v>
      </c>
      <c r="O101" s="299" t="s">
        <v>43</v>
      </c>
      <c r="P101" s="299" t="s">
        <v>53</v>
      </c>
      <c r="Q101" s="301" t="s">
        <v>865</v>
      </c>
    </row>
    <row r="102">
      <c r="A102" s="36">
        <v>101.0</v>
      </c>
      <c r="B102" s="38">
        <v>46384.0</v>
      </c>
      <c r="C102" s="40" t="s">
        <v>155</v>
      </c>
      <c r="D102" s="42">
        <v>16.0</v>
      </c>
      <c r="E102" s="58" t="s">
        <v>866</v>
      </c>
      <c r="F102" s="76" t="s">
        <v>79</v>
      </c>
      <c r="G102" s="58">
        <v>265.0</v>
      </c>
      <c r="H102" s="266">
        <v>4.0</v>
      </c>
      <c r="I102" s="279">
        <v>168.0</v>
      </c>
      <c r="J102" s="123" t="s">
        <v>43</v>
      </c>
      <c r="K102" s="123" t="s">
        <v>43</v>
      </c>
      <c r="L102" s="299" t="s">
        <v>43</v>
      </c>
      <c r="M102" s="123" t="s">
        <v>81</v>
      </c>
      <c r="N102" s="123" t="s">
        <v>53</v>
      </c>
      <c r="O102" s="123" t="s">
        <v>43</v>
      </c>
      <c r="P102" s="123" t="s">
        <v>53</v>
      </c>
      <c r="Q102" s="301" t="s">
        <v>867</v>
      </c>
    </row>
    <row r="103">
      <c r="A103" s="36">
        <v>102.0</v>
      </c>
      <c r="B103" s="38">
        <v>46385.0</v>
      </c>
      <c r="C103" s="40" t="s">
        <v>74</v>
      </c>
      <c r="D103" s="42">
        <v>17.0</v>
      </c>
      <c r="E103" s="58" t="s">
        <v>868</v>
      </c>
      <c r="F103" s="76" t="s">
        <v>79</v>
      </c>
      <c r="G103" s="110"/>
      <c r="H103" s="259"/>
      <c r="I103" s="279">
        <v>168.0</v>
      </c>
      <c r="J103" s="123" t="s">
        <v>43</v>
      </c>
      <c r="K103" s="123" t="s">
        <v>43</v>
      </c>
      <c r="L103" s="299" t="s">
        <v>43</v>
      </c>
      <c r="M103" s="123" t="s">
        <v>81</v>
      </c>
      <c r="N103" s="123" t="s">
        <v>53</v>
      </c>
      <c r="O103" s="123" t="s">
        <v>43</v>
      </c>
      <c r="P103" s="123" t="s">
        <v>53</v>
      </c>
      <c r="Q103" s="301" t="s">
        <v>867</v>
      </c>
    </row>
    <row r="104">
      <c r="A104" s="36">
        <v>103.0</v>
      </c>
      <c r="B104" s="38">
        <v>46386.0</v>
      </c>
      <c r="C104" s="40" t="s">
        <v>97</v>
      </c>
      <c r="D104" s="42">
        <v>18.0</v>
      </c>
      <c r="E104" s="58" t="s">
        <v>868</v>
      </c>
      <c r="F104" s="76" t="s">
        <v>79</v>
      </c>
      <c r="G104" s="110"/>
      <c r="H104" s="259"/>
      <c r="I104" s="279">
        <v>168.0</v>
      </c>
      <c r="J104" s="123" t="s">
        <v>43</v>
      </c>
      <c r="K104" s="123" t="s">
        <v>43</v>
      </c>
      <c r="L104" s="299" t="s">
        <v>43</v>
      </c>
      <c r="M104" s="123" t="s">
        <v>81</v>
      </c>
      <c r="N104" s="123" t="s">
        <v>53</v>
      </c>
      <c r="O104" s="123" t="s">
        <v>43</v>
      </c>
      <c r="P104" s="123" t="s">
        <v>53</v>
      </c>
      <c r="Q104" s="301" t="s">
        <v>867</v>
      </c>
    </row>
    <row r="105">
      <c r="A105" s="36">
        <v>104.0</v>
      </c>
      <c r="B105" s="38">
        <v>46387.0</v>
      </c>
      <c r="C105" s="40" t="s">
        <v>110</v>
      </c>
      <c r="D105" s="42">
        <v>19.0</v>
      </c>
      <c r="E105" s="58" t="s">
        <v>869</v>
      </c>
      <c r="F105" s="76" t="s">
        <v>79</v>
      </c>
      <c r="G105" s="58">
        <v>60.0</v>
      </c>
      <c r="H105" s="266">
        <v>1.0</v>
      </c>
      <c r="I105" s="279">
        <v>171.0</v>
      </c>
      <c r="J105" s="123" t="s">
        <v>43</v>
      </c>
      <c r="K105" s="123" t="s">
        <v>43</v>
      </c>
      <c r="L105" s="123" t="s">
        <v>53</v>
      </c>
      <c r="M105" s="123" t="s">
        <v>51</v>
      </c>
      <c r="N105" s="123" t="s">
        <v>53</v>
      </c>
      <c r="O105" s="123" t="s">
        <v>43</v>
      </c>
      <c r="P105" s="123" t="s">
        <v>53</v>
      </c>
      <c r="Q105" s="301" t="s">
        <v>870</v>
      </c>
      <c r="R105" s="380" t="s">
        <v>871</v>
      </c>
    </row>
    <row r="106">
      <c r="A106" s="36">
        <v>105.0</v>
      </c>
      <c r="B106" s="38">
        <v>46388.0</v>
      </c>
      <c r="C106" s="40" t="s">
        <v>120</v>
      </c>
      <c r="D106" s="42">
        <v>20.0</v>
      </c>
      <c r="E106" s="58" t="s">
        <v>872</v>
      </c>
      <c r="F106" s="76" t="s">
        <v>79</v>
      </c>
      <c r="G106" s="58"/>
      <c r="H106" s="266"/>
      <c r="I106" s="279">
        <v>171.0</v>
      </c>
      <c r="J106" s="123" t="s">
        <v>43</v>
      </c>
      <c r="K106" s="123" t="s">
        <v>43</v>
      </c>
      <c r="L106" s="123" t="s">
        <v>53</v>
      </c>
      <c r="M106" s="123" t="s">
        <v>51</v>
      </c>
      <c r="N106" s="123" t="s">
        <v>53</v>
      </c>
      <c r="O106" s="123" t="s">
        <v>43</v>
      </c>
      <c r="P106" s="123" t="s">
        <v>53</v>
      </c>
      <c r="Q106" s="301" t="s">
        <v>870</v>
      </c>
    </row>
    <row r="107">
      <c r="A107" s="36">
        <v>106.0</v>
      </c>
      <c r="B107" s="38">
        <v>46389.0</v>
      </c>
      <c r="C107" s="40" t="s">
        <v>132</v>
      </c>
      <c r="D107" s="42">
        <v>21.0</v>
      </c>
      <c r="E107" s="58" t="s">
        <v>874</v>
      </c>
      <c r="F107" s="76" t="s">
        <v>79</v>
      </c>
      <c r="G107" s="58">
        <v>240.0</v>
      </c>
      <c r="H107" s="266">
        <v>3.4</v>
      </c>
      <c r="I107" s="279">
        <v>150.0</v>
      </c>
      <c r="J107" s="293" t="s">
        <v>43</v>
      </c>
      <c r="K107" s="293" t="s">
        <v>43</v>
      </c>
      <c r="L107" s="299" t="s">
        <v>53</v>
      </c>
      <c r="M107" s="296" t="s">
        <v>81</v>
      </c>
      <c r="N107" s="299" t="s">
        <v>53</v>
      </c>
      <c r="O107" s="299" t="s">
        <v>43</v>
      </c>
      <c r="P107" s="299" t="s">
        <v>53</v>
      </c>
      <c r="Q107" s="301" t="s">
        <v>877</v>
      </c>
    </row>
    <row r="108">
      <c r="A108" s="36">
        <v>107.0</v>
      </c>
      <c r="B108" s="38">
        <v>46390.0</v>
      </c>
      <c r="C108" s="40" t="s">
        <v>148</v>
      </c>
      <c r="D108" s="42">
        <v>22.0</v>
      </c>
      <c r="E108" s="58" t="s">
        <v>880</v>
      </c>
      <c r="F108" s="76" t="s">
        <v>79</v>
      </c>
      <c r="G108" s="58"/>
      <c r="H108" s="266">
        <v>3.0</v>
      </c>
      <c r="I108" s="279">
        <v>150.0</v>
      </c>
      <c r="J108" s="123" t="s">
        <v>43</v>
      </c>
      <c r="K108" s="123" t="s">
        <v>43</v>
      </c>
      <c r="L108" s="123" t="s">
        <v>53</v>
      </c>
      <c r="M108" s="123" t="s">
        <v>286</v>
      </c>
      <c r="N108" s="123" t="s">
        <v>53</v>
      </c>
      <c r="O108" s="123" t="s">
        <v>43</v>
      </c>
      <c r="P108" s="123" t="s">
        <v>53</v>
      </c>
      <c r="Q108" s="301" t="s">
        <v>892</v>
      </c>
    </row>
    <row r="109">
      <c r="A109" s="36">
        <v>108.0</v>
      </c>
      <c r="B109" s="38">
        <v>46391.0</v>
      </c>
      <c r="C109" s="40" t="s">
        <v>155</v>
      </c>
      <c r="D109" s="42">
        <v>23.0</v>
      </c>
      <c r="E109" s="123" t="s">
        <v>894</v>
      </c>
      <c r="F109" s="76" t="s">
        <v>79</v>
      </c>
      <c r="G109" s="58"/>
      <c r="H109" s="266"/>
      <c r="I109" s="279">
        <v>150.0</v>
      </c>
      <c r="J109" s="123" t="s">
        <v>43</v>
      </c>
      <c r="K109" s="123" t="s">
        <v>43</v>
      </c>
      <c r="L109" s="123" t="s">
        <v>53</v>
      </c>
      <c r="M109" s="123" t="s">
        <v>286</v>
      </c>
      <c r="N109" s="123" t="s">
        <v>53</v>
      </c>
      <c r="O109" s="123" t="s">
        <v>43</v>
      </c>
      <c r="P109" s="123" t="s">
        <v>53</v>
      </c>
      <c r="Q109" s="309" t="s">
        <v>892</v>
      </c>
    </row>
    <row r="110">
      <c r="A110" s="36">
        <v>109.0</v>
      </c>
      <c r="B110" s="38">
        <v>46392.0</v>
      </c>
      <c r="C110" s="40" t="s">
        <v>74</v>
      </c>
      <c r="D110" s="42">
        <v>24.0</v>
      </c>
      <c r="E110" s="58" t="s">
        <v>902</v>
      </c>
      <c r="F110" s="76" t="s">
        <v>79</v>
      </c>
      <c r="G110" s="58">
        <v>330.0</v>
      </c>
      <c r="H110" s="266">
        <v>4.0</v>
      </c>
      <c r="I110" s="279">
        <v>180.0</v>
      </c>
      <c r="J110" s="293" t="s">
        <v>43</v>
      </c>
      <c r="K110" s="293" t="s">
        <v>43</v>
      </c>
      <c r="L110" s="299" t="s">
        <v>53</v>
      </c>
      <c r="M110" s="299" t="s">
        <v>51</v>
      </c>
      <c r="N110" s="299" t="s">
        <v>43</v>
      </c>
      <c r="O110" s="299" t="s">
        <v>43</v>
      </c>
      <c r="P110" s="299" t="s">
        <v>53</v>
      </c>
      <c r="Q110" s="309" t="s">
        <v>913</v>
      </c>
    </row>
    <row r="111">
      <c r="A111" s="36">
        <v>110.0</v>
      </c>
      <c r="B111" s="38">
        <v>46393.0</v>
      </c>
      <c r="C111" s="40" t="s">
        <v>97</v>
      </c>
      <c r="D111" s="42">
        <v>25.0</v>
      </c>
      <c r="E111" s="58" t="s">
        <v>930</v>
      </c>
      <c r="F111" s="76" t="s">
        <v>79</v>
      </c>
      <c r="G111" s="58">
        <v>60.0</v>
      </c>
      <c r="H111" s="266">
        <v>1.0</v>
      </c>
      <c r="I111" s="279">
        <v>180.0</v>
      </c>
      <c r="J111" s="293" t="s">
        <v>43</v>
      </c>
      <c r="K111" s="293" t="s">
        <v>43</v>
      </c>
      <c r="L111" s="299" t="s">
        <v>53</v>
      </c>
      <c r="M111" s="299" t="s">
        <v>51</v>
      </c>
      <c r="N111" s="299" t="s">
        <v>43</v>
      </c>
      <c r="O111" s="299" t="s">
        <v>43</v>
      </c>
      <c r="P111" s="299" t="s">
        <v>53</v>
      </c>
      <c r="Q111" s="301" t="s">
        <v>913</v>
      </c>
    </row>
    <row r="112">
      <c r="A112" s="36">
        <v>111.0</v>
      </c>
      <c r="B112" s="38">
        <v>46394.0</v>
      </c>
      <c r="C112" s="40" t="s">
        <v>110</v>
      </c>
      <c r="D112" s="42">
        <v>26.0</v>
      </c>
      <c r="E112" s="58" t="s">
        <v>937</v>
      </c>
      <c r="F112" s="76" t="s">
        <v>79</v>
      </c>
      <c r="G112" s="58">
        <v>200.0</v>
      </c>
      <c r="H112" s="266">
        <v>3.0</v>
      </c>
      <c r="I112" s="279">
        <v>140.0</v>
      </c>
      <c r="J112" s="293" t="s">
        <v>43</v>
      </c>
      <c r="K112" s="293" t="s">
        <v>43</v>
      </c>
      <c r="L112" s="299" t="s">
        <v>53</v>
      </c>
      <c r="M112" s="299" t="s">
        <v>51</v>
      </c>
      <c r="N112" s="299" t="s">
        <v>53</v>
      </c>
      <c r="O112" s="299" t="s">
        <v>43</v>
      </c>
      <c r="P112" s="299" t="s">
        <v>43</v>
      </c>
      <c r="Q112" s="301" t="s">
        <v>945</v>
      </c>
    </row>
    <row r="113">
      <c r="A113" s="36">
        <v>112.0</v>
      </c>
      <c r="B113" s="38">
        <v>46395.0</v>
      </c>
      <c r="C113" s="40" t="s">
        <v>120</v>
      </c>
      <c r="D113" s="42">
        <v>27.0</v>
      </c>
      <c r="E113" s="58" t="s">
        <v>960</v>
      </c>
      <c r="F113" s="76" t="s">
        <v>79</v>
      </c>
      <c r="G113" s="58">
        <v>150.0</v>
      </c>
      <c r="H113" s="266">
        <v>2.0</v>
      </c>
      <c r="I113" s="279">
        <v>200.0</v>
      </c>
      <c r="J113" s="293" t="s">
        <v>43</v>
      </c>
      <c r="K113" s="293" t="s">
        <v>43</v>
      </c>
      <c r="L113" s="299" t="s">
        <v>53</v>
      </c>
      <c r="M113" s="299" t="s">
        <v>51</v>
      </c>
      <c r="N113" s="299" t="s">
        <v>53</v>
      </c>
      <c r="O113" s="299" t="s">
        <v>43</v>
      </c>
      <c r="P113" s="299" t="s">
        <v>43</v>
      </c>
      <c r="Q113" s="301" t="s">
        <v>964</v>
      </c>
    </row>
    <row r="114">
      <c r="A114" s="36">
        <v>113.0</v>
      </c>
      <c r="B114" s="38">
        <v>46396.0</v>
      </c>
      <c r="C114" s="40" t="s">
        <v>132</v>
      </c>
      <c r="D114" s="42">
        <v>28.0</v>
      </c>
      <c r="E114" s="123" t="s">
        <v>969</v>
      </c>
      <c r="F114" s="76" t="s">
        <v>79</v>
      </c>
      <c r="G114" s="58">
        <v>300.0</v>
      </c>
      <c r="H114" s="266">
        <v>4.0</v>
      </c>
      <c r="I114" s="279">
        <v>200.0</v>
      </c>
      <c r="J114" s="293" t="s">
        <v>43</v>
      </c>
      <c r="K114" s="293" t="s">
        <v>43</v>
      </c>
      <c r="L114" s="299" t="s">
        <v>53</v>
      </c>
      <c r="M114" s="299" t="s">
        <v>51</v>
      </c>
      <c r="N114" s="299" t="s">
        <v>53</v>
      </c>
      <c r="O114" s="299" t="s">
        <v>43</v>
      </c>
      <c r="P114" s="299" t="s">
        <v>43</v>
      </c>
      <c r="Q114" s="301" t="s">
        <v>964</v>
      </c>
    </row>
    <row r="115">
      <c r="A115" s="36">
        <v>114.0</v>
      </c>
      <c r="B115" s="38">
        <v>46397.0</v>
      </c>
      <c r="C115" s="40" t="s">
        <v>148</v>
      </c>
      <c r="D115" s="42">
        <v>29.0</v>
      </c>
      <c r="E115" s="386" t="s">
        <v>971</v>
      </c>
      <c r="F115" s="76" t="s">
        <v>79</v>
      </c>
      <c r="G115" s="58"/>
      <c r="H115" s="266"/>
      <c r="I115" s="279">
        <v>200.0</v>
      </c>
      <c r="J115" s="293" t="s">
        <v>43</v>
      </c>
      <c r="K115" s="293" t="s">
        <v>43</v>
      </c>
      <c r="L115" s="299" t="s">
        <v>53</v>
      </c>
      <c r="M115" s="299" t="s">
        <v>51</v>
      </c>
      <c r="N115" s="299" t="s">
        <v>53</v>
      </c>
      <c r="O115" s="299" t="s">
        <v>43</v>
      </c>
      <c r="P115" s="299" t="s">
        <v>43</v>
      </c>
      <c r="Q115" s="301" t="s">
        <v>964</v>
      </c>
    </row>
    <row r="116">
      <c r="A116" s="36">
        <v>115.0</v>
      </c>
      <c r="B116" s="38">
        <v>46398.0</v>
      </c>
      <c r="C116" s="40" t="s">
        <v>155</v>
      </c>
      <c r="D116" s="42">
        <v>30.0</v>
      </c>
      <c r="E116" s="123" t="s">
        <v>969</v>
      </c>
      <c r="F116" s="76" t="s">
        <v>79</v>
      </c>
      <c r="G116" s="58"/>
      <c r="H116" s="266"/>
      <c r="I116" s="279">
        <v>200.0</v>
      </c>
      <c r="J116" s="293" t="s">
        <v>43</v>
      </c>
      <c r="K116" s="293" t="s">
        <v>43</v>
      </c>
      <c r="L116" s="299" t="s">
        <v>53</v>
      </c>
      <c r="M116" s="299" t="s">
        <v>51</v>
      </c>
      <c r="N116" s="299" t="s">
        <v>53</v>
      </c>
      <c r="O116" s="299" t="s">
        <v>43</v>
      </c>
      <c r="P116" s="299" t="s">
        <v>43</v>
      </c>
      <c r="Q116" s="301" t="s">
        <v>964</v>
      </c>
      <c r="R116" s="388" t="s">
        <v>997</v>
      </c>
    </row>
    <row r="117">
      <c r="A117" s="36">
        <v>116.0</v>
      </c>
      <c r="B117" s="38">
        <v>46399.0</v>
      </c>
      <c r="C117" s="40" t="s">
        <v>74</v>
      </c>
      <c r="D117" s="42">
        <v>31.0</v>
      </c>
      <c r="E117" s="58" t="s">
        <v>1002</v>
      </c>
      <c r="F117" s="76" t="s">
        <v>79</v>
      </c>
      <c r="G117" s="58">
        <v>80.0</v>
      </c>
      <c r="H117" s="266">
        <v>1.15</v>
      </c>
      <c r="I117" s="279">
        <v>150.0</v>
      </c>
      <c r="J117" s="293" t="s">
        <v>43</v>
      </c>
      <c r="K117" s="299" t="s">
        <v>53</v>
      </c>
      <c r="L117" s="299" t="s">
        <v>43</v>
      </c>
      <c r="M117" s="299" t="s">
        <v>51</v>
      </c>
      <c r="N117" s="299" t="s">
        <v>53</v>
      </c>
      <c r="O117" s="299" t="s">
        <v>43</v>
      </c>
      <c r="P117" s="299" t="s">
        <v>53</v>
      </c>
      <c r="Q117" s="301" t="s">
        <v>1008</v>
      </c>
      <c r="R117" s="389"/>
    </row>
    <row r="118">
      <c r="A118" s="36">
        <v>117.0</v>
      </c>
      <c r="B118" s="38">
        <v>46400.0</v>
      </c>
      <c r="C118" s="40" t="s">
        <v>97</v>
      </c>
      <c r="D118" s="42">
        <v>32.0</v>
      </c>
      <c r="E118" s="58" t="s">
        <v>1039</v>
      </c>
      <c r="F118" s="76" t="s">
        <v>79</v>
      </c>
      <c r="G118" s="58"/>
      <c r="H118" s="266"/>
      <c r="I118" s="279">
        <v>176.91294117647</v>
      </c>
      <c r="J118" s="293" t="s">
        <v>43</v>
      </c>
      <c r="K118" s="299" t="s">
        <v>53</v>
      </c>
      <c r="L118" s="299" t="s">
        <v>43</v>
      </c>
      <c r="M118" s="299" t="s">
        <v>51</v>
      </c>
      <c r="N118" s="299" t="s">
        <v>53</v>
      </c>
      <c r="O118" s="299" t="s">
        <v>43</v>
      </c>
      <c r="P118" s="299" t="s">
        <v>53</v>
      </c>
      <c r="Q118" s="301" t="s">
        <v>1008</v>
      </c>
    </row>
    <row r="119">
      <c r="A119" s="36">
        <v>118.0</v>
      </c>
      <c r="B119" s="38">
        <v>46401.0</v>
      </c>
      <c r="C119" s="40" t="s">
        <v>110</v>
      </c>
      <c r="D119" s="42">
        <v>33.0</v>
      </c>
      <c r="E119" s="58" t="s">
        <v>1044</v>
      </c>
      <c r="F119" s="76" t="s">
        <v>79</v>
      </c>
      <c r="G119" s="58">
        <v>180.0</v>
      </c>
      <c r="H119" s="266">
        <v>2.45</v>
      </c>
      <c r="I119" s="279">
        <v>200.0</v>
      </c>
      <c r="J119" s="252" t="s">
        <v>43</v>
      </c>
      <c r="K119" s="252" t="s">
        <v>43</v>
      </c>
      <c r="L119" s="255" t="s">
        <v>43</v>
      </c>
      <c r="M119" s="253" t="s">
        <v>81</v>
      </c>
      <c r="N119" s="254" t="s">
        <v>53</v>
      </c>
      <c r="O119" s="254" t="s">
        <v>43</v>
      </c>
      <c r="P119" s="255" t="s">
        <v>43</v>
      </c>
      <c r="Q119" s="88" t="s">
        <v>1045</v>
      </c>
    </row>
    <row r="120">
      <c r="A120" s="36">
        <v>119.0</v>
      </c>
      <c r="B120" s="38">
        <v>46402.0</v>
      </c>
      <c r="C120" s="40" t="s">
        <v>120</v>
      </c>
      <c r="D120" s="42">
        <v>34.0</v>
      </c>
      <c r="E120" s="58" t="s">
        <v>1046</v>
      </c>
      <c r="F120" s="76" t="s">
        <v>79</v>
      </c>
      <c r="G120" s="110"/>
      <c r="H120" s="259"/>
      <c r="I120" s="279">
        <v>200.0</v>
      </c>
      <c r="J120" s="252" t="s">
        <v>43</v>
      </c>
      <c r="K120" s="252" t="s">
        <v>43</v>
      </c>
      <c r="L120" s="255" t="s">
        <v>43</v>
      </c>
      <c r="M120" s="253" t="s">
        <v>81</v>
      </c>
      <c r="N120" s="254" t="s">
        <v>53</v>
      </c>
      <c r="O120" s="254" t="s">
        <v>43</v>
      </c>
      <c r="P120" s="255" t="s">
        <v>43</v>
      </c>
      <c r="Q120" s="88" t="s">
        <v>1045</v>
      </c>
    </row>
    <row r="121">
      <c r="A121" s="36">
        <v>120.0</v>
      </c>
      <c r="B121" s="38">
        <v>46403.0</v>
      </c>
      <c r="C121" s="40" t="s">
        <v>132</v>
      </c>
      <c r="D121" s="42">
        <v>35.0</v>
      </c>
      <c r="E121" s="58" t="s">
        <v>1046</v>
      </c>
      <c r="F121" s="76" t="s">
        <v>79</v>
      </c>
      <c r="G121" s="110"/>
      <c r="H121" s="259"/>
      <c r="I121" s="279">
        <v>200.0</v>
      </c>
      <c r="J121" s="252" t="s">
        <v>43</v>
      </c>
      <c r="K121" s="252" t="s">
        <v>43</v>
      </c>
      <c r="L121" s="255" t="s">
        <v>43</v>
      </c>
      <c r="M121" s="253" t="s">
        <v>81</v>
      </c>
      <c r="N121" s="254" t="s">
        <v>53</v>
      </c>
      <c r="O121" s="254" t="s">
        <v>43</v>
      </c>
      <c r="P121" s="255" t="s">
        <v>43</v>
      </c>
      <c r="Q121" s="88" t="s">
        <v>1045</v>
      </c>
    </row>
    <row r="122">
      <c r="A122" s="36">
        <v>121.0</v>
      </c>
      <c r="B122" s="38">
        <v>46404.0</v>
      </c>
      <c r="C122" s="40" t="s">
        <v>148</v>
      </c>
      <c r="D122" s="42">
        <v>36.0</v>
      </c>
      <c r="E122" s="58" t="s">
        <v>1046</v>
      </c>
      <c r="F122" s="76" t="s">
        <v>79</v>
      </c>
      <c r="G122" s="58"/>
      <c r="H122" s="266"/>
      <c r="I122" s="279">
        <v>200.0</v>
      </c>
      <c r="J122" s="252" t="s">
        <v>43</v>
      </c>
      <c r="K122" s="252" t="s">
        <v>43</v>
      </c>
      <c r="L122" s="255" t="s">
        <v>43</v>
      </c>
      <c r="M122" s="253" t="s">
        <v>81</v>
      </c>
      <c r="N122" s="254" t="s">
        <v>53</v>
      </c>
      <c r="O122" s="254" t="s">
        <v>43</v>
      </c>
      <c r="P122" s="255" t="s">
        <v>43</v>
      </c>
      <c r="Q122" s="392" t="s">
        <v>1045</v>
      </c>
    </row>
    <row r="123">
      <c r="A123" s="36">
        <v>122.0</v>
      </c>
      <c r="B123" s="38">
        <v>46405.0</v>
      </c>
      <c r="C123" s="40" t="s">
        <v>155</v>
      </c>
      <c r="D123" s="42">
        <v>37.0</v>
      </c>
      <c r="E123" s="58" t="s">
        <v>1046</v>
      </c>
      <c r="F123" s="76" t="s">
        <v>79</v>
      </c>
      <c r="G123" s="110"/>
      <c r="H123" s="259"/>
      <c r="I123" s="279">
        <v>200.0</v>
      </c>
      <c r="J123" s="252" t="s">
        <v>43</v>
      </c>
      <c r="K123" s="252" t="s">
        <v>43</v>
      </c>
      <c r="L123" s="255" t="s">
        <v>43</v>
      </c>
      <c r="M123" s="253" t="s">
        <v>81</v>
      </c>
      <c r="N123" s="254" t="s">
        <v>53</v>
      </c>
      <c r="O123" s="254" t="s">
        <v>43</v>
      </c>
      <c r="P123" s="255" t="s">
        <v>43</v>
      </c>
      <c r="Q123" s="88" t="s">
        <v>1045</v>
      </c>
    </row>
    <row r="124">
      <c r="A124" s="36">
        <v>123.0</v>
      </c>
      <c r="B124" s="38">
        <v>46406.0</v>
      </c>
      <c r="C124" s="40" t="s">
        <v>74</v>
      </c>
      <c r="D124" s="42">
        <v>38.0</v>
      </c>
      <c r="E124" s="393" t="s">
        <v>1047</v>
      </c>
      <c r="F124" s="76" t="s">
        <v>79</v>
      </c>
      <c r="G124" s="58">
        <v>170.0</v>
      </c>
      <c r="H124" s="266">
        <v>2.5</v>
      </c>
      <c r="I124" s="279">
        <v>110.0</v>
      </c>
      <c r="J124" s="58" t="s">
        <v>43</v>
      </c>
      <c r="K124" s="58" t="s">
        <v>53</v>
      </c>
      <c r="L124" s="58" t="s">
        <v>43</v>
      </c>
      <c r="M124" s="58" t="s">
        <v>51</v>
      </c>
      <c r="N124" s="254" t="s">
        <v>53</v>
      </c>
      <c r="O124" s="58" t="s">
        <v>53</v>
      </c>
      <c r="P124" s="58" t="s">
        <v>43</v>
      </c>
      <c r="Q124" s="398" t="s">
        <v>1048</v>
      </c>
    </row>
    <row r="125">
      <c r="A125" s="36">
        <v>124.0</v>
      </c>
      <c r="B125" s="38">
        <v>46407.0</v>
      </c>
      <c r="C125" s="40" t="s">
        <v>97</v>
      </c>
      <c r="D125" s="42">
        <v>39.0</v>
      </c>
      <c r="E125" s="363" t="s">
        <v>643</v>
      </c>
      <c r="F125" s="326" t="s">
        <v>393</v>
      </c>
      <c r="G125" s="110"/>
      <c r="H125" s="259"/>
      <c r="I125" s="279">
        <v>110.0</v>
      </c>
      <c r="J125" s="58" t="s">
        <v>43</v>
      </c>
      <c r="K125" s="58" t="s">
        <v>53</v>
      </c>
      <c r="L125" s="58" t="s">
        <v>43</v>
      </c>
      <c r="M125" s="58" t="s">
        <v>51</v>
      </c>
      <c r="N125" s="254" t="s">
        <v>53</v>
      </c>
      <c r="O125" s="58" t="s">
        <v>53</v>
      </c>
      <c r="P125" s="58" t="s">
        <v>43</v>
      </c>
      <c r="Q125" s="401" t="s">
        <v>1048</v>
      </c>
    </row>
    <row r="126">
      <c r="A126" s="36">
        <v>125.0</v>
      </c>
      <c r="B126" s="38">
        <v>46408.0</v>
      </c>
      <c r="C126" s="40" t="s">
        <v>110</v>
      </c>
      <c r="D126" s="206">
        <v>1.0</v>
      </c>
      <c r="E126" s="402" t="s">
        <v>1058</v>
      </c>
      <c r="F126" s="406"/>
      <c r="G126" s="206"/>
      <c r="H126" s="211"/>
      <c r="I126" s="56">
        <v>220.0</v>
      </c>
      <c r="J126" s="58" t="s">
        <v>43</v>
      </c>
      <c r="K126" s="58" t="s">
        <v>53</v>
      </c>
      <c r="L126" s="58" t="s">
        <v>43</v>
      </c>
      <c r="M126" s="58" t="s">
        <v>51</v>
      </c>
      <c r="N126" s="58" t="s">
        <v>43</v>
      </c>
      <c r="O126" s="58" t="s">
        <v>53</v>
      </c>
      <c r="P126" s="58" t="s">
        <v>43</v>
      </c>
      <c r="Q126" s="88" t="s">
        <v>1064</v>
      </c>
    </row>
    <row r="127">
      <c r="A127" s="36">
        <v>126.0</v>
      </c>
      <c r="B127" s="38">
        <v>46409.0</v>
      </c>
      <c r="C127" s="40" t="s">
        <v>120</v>
      </c>
      <c r="D127" s="42">
        <v>2.0</v>
      </c>
      <c r="E127" s="418" t="s">
        <v>645</v>
      </c>
      <c r="F127" s="364"/>
      <c r="G127" s="42"/>
      <c r="H127" s="419"/>
      <c r="I127" s="56">
        <v>220.0</v>
      </c>
      <c r="J127" s="58" t="s">
        <v>43</v>
      </c>
      <c r="K127" s="58" t="s">
        <v>53</v>
      </c>
      <c r="L127" s="58" t="s">
        <v>43</v>
      </c>
      <c r="M127" s="58" t="s">
        <v>51</v>
      </c>
      <c r="N127" s="58" t="s">
        <v>43</v>
      </c>
      <c r="O127" s="58" t="s">
        <v>53</v>
      </c>
      <c r="P127" s="58" t="s">
        <v>43</v>
      </c>
      <c r="Q127" s="88" t="s">
        <v>1064</v>
      </c>
    </row>
    <row r="128">
      <c r="A128" s="36">
        <v>127.0</v>
      </c>
      <c r="B128" s="38">
        <v>46410.0</v>
      </c>
      <c r="C128" s="40" t="s">
        <v>132</v>
      </c>
      <c r="D128" s="42">
        <v>3.0</v>
      </c>
      <c r="E128" s="418" t="s">
        <v>645</v>
      </c>
      <c r="F128" s="364"/>
      <c r="G128" s="42"/>
      <c r="H128" s="419"/>
      <c r="I128" s="56">
        <v>220.0</v>
      </c>
      <c r="J128" s="58" t="s">
        <v>43</v>
      </c>
      <c r="K128" s="58" t="s">
        <v>53</v>
      </c>
      <c r="L128" s="58" t="s">
        <v>43</v>
      </c>
      <c r="M128" s="58" t="s">
        <v>51</v>
      </c>
      <c r="N128" s="58" t="s">
        <v>43</v>
      </c>
      <c r="O128" s="58" t="s">
        <v>53</v>
      </c>
      <c r="P128" s="58" t="s">
        <v>43</v>
      </c>
      <c r="Q128" s="88" t="s">
        <v>1064</v>
      </c>
    </row>
    <row r="129">
      <c r="A129" s="36">
        <v>128.0</v>
      </c>
      <c r="B129" s="38">
        <v>46411.0</v>
      </c>
      <c r="C129" s="40" t="s">
        <v>148</v>
      </c>
      <c r="D129" s="42">
        <v>4.0</v>
      </c>
      <c r="E129" s="418" t="s">
        <v>645</v>
      </c>
      <c r="F129" s="364"/>
      <c r="G129" s="42"/>
      <c r="H129" s="419"/>
      <c r="I129" s="56">
        <v>220.0</v>
      </c>
      <c r="J129" s="58" t="s">
        <v>43</v>
      </c>
      <c r="K129" s="58" t="s">
        <v>53</v>
      </c>
      <c r="L129" s="58" t="s">
        <v>43</v>
      </c>
      <c r="M129" s="58" t="s">
        <v>51</v>
      </c>
      <c r="N129" s="58" t="s">
        <v>43</v>
      </c>
      <c r="O129" s="58" t="s">
        <v>53</v>
      </c>
      <c r="P129" s="58" t="s">
        <v>43</v>
      </c>
      <c r="Q129" s="88" t="s">
        <v>1064</v>
      </c>
    </row>
    <row r="130">
      <c r="A130" s="36">
        <v>129.0</v>
      </c>
      <c r="B130" s="38">
        <v>46412.0</v>
      </c>
      <c r="C130" s="40" t="s">
        <v>155</v>
      </c>
      <c r="D130" s="206">
        <v>1.0</v>
      </c>
      <c r="E130" s="402" t="s">
        <v>1096</v>
      </c>
      <c r="F130" s="406"/>
      <c r="G130" s="206"/>
      <c r="H130" s="423">
        <v>1.5</v>
      </c>
      <c r="I130" s="56">
        <v>220.0</v>
      </c>
      <c r="J130" s="58" t="s">
        <v>43</v>
      </c>
      <c r="K130" s="58" t="s">
        <v>53</v>
      </c>
      <c r="L130" s="58" t="s">
        <v>43</v>
      </c>
      <c r="M130" s="253" t="s">
        <v>81</v>
      </c>
      <c r="N130" s="58" t="s">
        <v>43</v>
      </c>
      <c r="O130" s="58" t="s">
        <v>53</v>
      </c>
      <c r="P130" s="58" t="s">
        <v>43</v>
      </c>
      <c r="Q130" s="158" t="s">
        <v>1098</v>
      </c>
    </row>
    <row r="131">
      <c r="A131" s="36">
        <v>130.0</v>
      </c>
      <c r="B131" s="38">
        <v>46413.0</v>
      </c>
      <c r="C131" s="40" t="s">
        <v>74</v>
      </c>
      <c r="D131" s="42">
        <v>2.0</v>
      </c>
      <c r="E131" s="58" t="s">
        <v>1102</v>
      </c>
      <c r="F131" s="274"/>
      <c r="G131" s="58"/>
      <c r="H131" s="427"/>
      <c r="I131" s="56">
        <v>220.0</v>
      </c>
      <c r="J131" s="58" t="s">
        <v>43</v>
      </c>
      <c r="K131" s="58" t="s">
        <v>53</v>
      </c>
      <c r="L131" s="58" t="s">
        <v>43</v>
      </c>
      <c r="M131" s="253" t="s">
        <v>81</v>
      </c>
      <c r="N131" s="58" t="s">
        <v>43</v>
      </c>
      <c r="O131" s="58" t="s">
        <v>53</v>
      </c>
      <c r="P131" s="58" t="s">
        <v>43</v>
      </c>
      <c r="Q131" s="158" t="s">
        <v>1098</v>
      </c>
    </row>
    <row r="132">
      <c r="A132" s="36">
        <v>131.0</v>
      </c>
      <c r="B132" s="38">
        <v>46414.0</v>
      </c>
      <c r="C132" s="40" t="s">
        <v>97</v>
      </c>
      <c r="D132" s="430">
        <v>3.0</v>
      </c>
      <c r="E132" s="58" t="s">
        <v>1102</v>
      </c>
      <c r="F132" s="58"/>
      <c r="G132" s="58"/>
      <c r="H132" s="427"/>
      <c r="I132" s="56">
        <v>220.0</v>
      </c>
      <c r="J132" s="58" t="s">
        <v>43</v>
      </c>
      <c r="K132" s="58" t="s">
        <v>53</v>
      </c>
      <c r="L132" s="58" t="s">
        <v>43</v>
      </c>
      <c r="M132" s="253" t="s">
        <v>81</v>
      </c>
      <c r="N132" s="58" t="s">
        <v>43</v>
      </c>
      <c r="O132" s="58" t="s">
        <v>53</v>
      </c>
      <c r="P132" s="58" t="s">
        <v>43</v>
      </c>
      <c r="Q132" s="309" t="s">
        <v>1098</v>
      </c>
    </row>
    <row r="133">
      <c r="A133" s="36">
        <v>132.0</v>
      </c>
      <c r="B133" s="38">
        <v>46415.0</v>
      </c>
      <c r="C133" s="40" t="s">
        <v>110</v>
      </c>
      <c r="D133" s="42">
        <v>4.0</v>
      </c>
      <c r="E133" s="58" t="s">
        <v>1102</v>
      </c>
      <c r="F133" s="58"/>
      <c r="G133" s="58"/>
      <c r="H133" s="427"/>
      <c r="I133" s="56">
        <v>220.0</v>
      </c>
      <c r="J133" s="58" t="s">
        <v>43</v>
      </c>
      <c r="K133" s="58" t="s">
        <v>53</v>
      </c>
      <c r="L133" s="58" t="s">
        <v>43</v>
      </c>
      <c r="M133" s="253" t="s">
        <v>81</v>
      </c>
      <c r="N133" s="58" t="s">
        <v>43</v>
      </c>
      <c r="O133" s="58" t="s">
        <v>53</v>
      </c>
      <c r="P133" s="58" t="s">
        <v>43</v>
      </c>
      <c r="Q133" s="309" t="s">
        <v>1098</v>
      </c>
    </row>
    <row r="134">
      <c r="A134" s="36">
        <v>133.0</v>
      </c>
      <c r="B134" s="38">
        <v>46416.0</v>
      </c>
      <c r="C134" s="40" t="s">
        <v>120</v>
      </c>
      <c r="D134" s="430">
        <v>5.0</v>
      </c>
      <c r="E134" s="58" t="s">
        <v>1114</v>
      </c>
      <c r="F134" s="58"/>
      <c r="G134" s="58"/>
      <c r="H134" s="423">
        <v>2.5</v>
      </c>
      <c r="I134" s="56">
        <v>150.0</v>
      </c>
      <c r="J134" s="58" t="s">
        <v>584</v>
      </c>
      <c r="K134" s="58" t="s">
        <v>53</v>
      </c>
      <c r="L134" s="58" t="s">
        <v>43</v>
      </c>
      <c r="M134" s="253" t="s">
        <v>81</v>
      </c>
      <c r="N134" s="58" t="s">
        <v>43</v>
      </c>
      <c r="O134" s="58" t="s">
        <v>53</v>
      </c>
      <c r="P134" s="58" t="s">
        <v>43</v>
      </c>
      <c r="Q134" s="309" t="s">
        <v>1119</v>
      </c>
    </row>
    <row r="135">
      <c r="A135" s="36">
        <v>134.0</v>
      </c>
      <c r="B135" s="38">
        <v>46417.0</v>
      </c>
      <c r="C135" s="40" t="s">
        <v>132</v>
      </c>
      <c r="D135" s="430">
        <v>6.0</v>
      </c>
      <c r="E135" s="58" t="s">
        <v>1114</v>
      </c>
      <c r="F135" s="58"/>
      <c r="G135" s="58"/>
      <c r="H135" s="423"/>
      <c r="I135" s="56">
        <v>150.0</v>
      </c>
      <c r="J135" s="58" t="s">
        <v>584</v>
      </c>
      <c r="K135" s="58" t="s">
        <v>53</v>
      </c>
      <c r="L135" s="58" t="s">
        <v>43</v>
      </c>
      <c r="M135" s="253" t="s">
        <v>81</v>
      </c>
      <c r="N135" s="58" t="s">
        <v>43</v>
      </c>
      <c r="O135" s="58" t="s">
        <v>53</v>
      </c>
      <c r="P135" s="58" t="s">
        <v>43</v>
      </c>
      <c r="Q135" s="309" t="s">
        <v>1119</v>
      </c>
    </row>
    <row r="136">
      <c r="A136" s="36">
        <v>135.0</v>
      </c>
      <c r="B136" s="38">
        <v>46418.0</v>
      </c>
      <c r="C136" s="40" t="s">
        <v>148</v>
      </c>
      <c r="D136" s="42">
        <v>7.0</v>
      </c>
      <c r="E136" s="58" t="s">
        <v>1114</v>
      </c>
      <c r="F136" s="58"/>
      <c r="G136" s="58"/>
      <c r="H136" s="427"/>
      <c r="I136" s="56">
        <v>150.0</v>
      </c>
      <c r="J136" s="58" t="s">
        <v>584</v>
      </c>
      <c r="K136" s="58" t="s">
        <v>53</v>
      </c>
      <c r="L136" s="58" t="s">
        <v>43</v>
      </c>
      <c r="M136" s="253" t="s">
        <v>81</v>
      </c>
      <c r="N136" s="58" t="s">
        <v>43</v>
      </c>
      <c r="O136" s="58" t="s">
        <v>53</v>
      </c>
      <c r="P136" s="58" t="s">
        <v>43</v>
      </c>
      <c r="Q136" s="309" t="s">
        <v>1119</v>
      </c>
    </row>
    <row r="137">
      <c r="A137" s="36">
        <v>136.0</v>
      </c>
      <c r="B137" s="38">
        <v>46419.0</v>
      </c>
      <c r="C137" s="40" t="s">
        <v>155</v>
      </c>
      <c r="D137" s="430">
        <v>8.0</v>
      </c>
      <c r="E137" s="58" t="s">
        <v>1134</v>
      </c>
      <c r="F137" s="58"/>
      <c r="G137" s="58"/>
      <c r="H137" s="423">
        <v>7.0</v>
      </c>
      <c r="I137" s="56">
        <v>140.0</v>
      </c>
      <c r="J137" s="58" t="s">
        <v>43</v>
      </c>
      <c r="K137" s="58" t="s">
        <v>43</v>
      </c>
      <c r="L137" s="58" t="s">
        <v>43</v>
      </c>
      <c r="M137" s="253" t="s">
        <v>81</v>
      </c>
      <c r="N137" s="58" t="s">
        <v>53</v>
      </c>
      <c r="O137" s="58" t="s">
        <v>43</v>
      </c>
      <c r="P137" s="58" t="s">
        <v>43</v>
      </c>
      <c r="Q137" s="309" t="s">
        <v>1139</v>
      </c>
    </row>
    <row r="138">
      <c r="A138" s="36">
        <v>137.0</v>
      </c>
      <c r="B138" s="38">
        <v>46420.0</v>
      </c>
      <c r="C138" s="40" t="s">
        <v>74</v>
      </c>
      <c r="D138" s="42">
        <v>9.0</v>
      </c>
      <c r="E138" s="58" t="s">
        <v>1134</v>
      </c>
      <c r="F138" s="58"/>
      <c r="G138" s="58"/>
      <c r="H138" s="427"/>
      <c r="I138" s="56">
        <v>140.0</v>
      </c>
      <c r="J138" s="58" t="s">
        <v>43</v>
      </c>
      <c r="K138" s="58" t="s">
        <v>43</v>
      </c>
      <c r="L138" s="58" t="s">
        <v>43</v>
      </c>
      <c r="M138" s="253" t="s">
        <v>81</v>
      </c>
      <c r="N138" s="58" t="s">
        <v>53</v>
      </c>
      <c r="O138" s="58" t="s">
        <v>43</v>
      </c>
      <c r="P138" s="58" t="s">
        <v>43</v>
      </c>
      <c r="Q138" s="309" t="s">
        <v>1139</v>
      </c>
    </row>
    <row r="139">
      <c r="A139" s="36">
        <v>138.0</v>
      </c>
      <c r="B139" s="38">
        <v>46421.0</v>
      </c>
      <c r="C139" s="40" t="s">
        <v>97</v>
      </c>
      <c r="D139" s="430">
        <v>10.0</v>
      </c>
      <c r="E139" s="58" t="s">
        <v>1134</v>
      </c>
      <c r="F139" s="58"/>
      <c r="G139" s="58"/>
      <c r="H139" s="427"/>
      <c r="I139" s="56">
        <v>140.0</v>
      </c>
      <c r="J139" s="58" t="s">
        <v>43</v>
      </c>
      <c r="K139" s="58" t="s">
        <v>43</v>
      </c>
      <c r="L139" s="58" t="s">
        <v>43</v>
      </c>
      <c r="M139" s="253" t="s">
        <v>81</v>
      </c>
      <c r="N139" s="58" t="s">
        <v>53</v>
      </c>
      <c r="O139" s="58" t="s">
        <v>43</v>
      </c>
      <c r="P139" s="58" t="s">
        <v>43</v>
      </c>
      <c r="Q139" s="309" t="s">
        <v>1139</v>
      </c>
    </row>
    <row r="140">
      <c r="A140" s="36">
        <v>139.0</v>
      </c>
      <c r="B140" s="38">
        <v>46422.0</v>
      </c>
      <c r="C140" s="40" t="s">
        <v>110</v>
      </c>
      <c r="D140" s="430">
        <v>11.0</v>
      </c>
      <c r="E140" s="58" t="s">
        <v>1134</v>
      </c>
      <c r="F140" s="274"/>
      <c r="G140" s="58"/>
      <c r="H140" s="423">
        <v>2.5</v>
      </c>
      <c r="I140" s="56">
        <v>140.0</v>
      </c>
      <c r="J140" s="58" t="s">
        <v>43</v>
      </c>
      <c r="K140" s="58" t="s">
        <v>43</v>
      </c>
      <c r="L140" s="58" t="s">
        <v>43</v>
      </c>
      <c r="M140" s="253" t="s">
        <v>81</v>
      </c>
      <c r="N140" s="58" t="s">
        <v>53</v>
      </c>
      <c r="O140" s="58" t="s">
        <v>43</v>
      </c>
      <c r="P140" s="58" t="s">
        <v>43</v>
      </c>
      <c r="Q140" s="309" t="s">
        <v>1139</v>
      </c>
    </row>
    <row r="141">
      <c r="A141" s="36">
        <v>140.0</v>
      </c>
      <c r="B141" s="38">
        <v>46423.0</v>
      </c>
      <c r="C141" s="40" t="s">
        <v>120</v>
      </c>
      <c r="D141" s="42">
        <v>12.0</v>
      </c>
      <c r="E141" s="58" t="s">
        <v>1134</v>
      </c>
      <c r="F141" s="274"/>
      <c r="G141" s="58"/>
      <c r="H141" s="427"/>
      <c r="I141" s="56">
        <v>140.0</v>
      </c>
      <c r="J141" s="58" t="s">
        <v>43</v>
      </c>
      <c r="K141" s="58" t="s">
        <v>43</v>
      </c>
      <c r="L141" s="58" t="s">
        <v>43</v>
      </c>
      <c r="M141" s="253" t="s">
        <v>81</v>
      </c>
      <c r="N141" s="58" t="s">
        <v>53</v>
      </c>
      <c r="O141" s="58" t="s">
        <v>43</v>
      </c>
      <c r="P141" s="58" t="s">
        <v>43</v>
      </c>
      <c r="Q141" s="309" t="s">
        <v>1139</v>
      </c>
    </row>
    <row r="142">
      <c r="A142" s="36">
        <v>141.0</v>
      </c>
      <c r="B142" s="38">
        <v>46424.0</v>
      </c>
      <c r="C142" s="40" t="s">
        <v>132</v>
      </c>
      <c r="D142" s="430">
        <v>13.0</v>
      </c>
      <c r="E142" s="58" t="s">
        <v>1155</v>
      </c>
      <c r="F142" s="274"/>
      <c r="G142" s="58"/>
      <c r="H142" s="436">
        <v>2.5</v>
      </c>
      <c r="I142" s="56">
        <v>150.0</v>
      </c>
      <c r="J142" s="58" t="s">
        <v>43</v>
      </c>
      <c r="K142" s="58" t="s">
        <v>43</v>
      </c>
      <c r="L142" s="58" t="s">
        <v>43</v>
      </c>
      <c r="M142" s="58" t="s">
        <v>51</v>
      </c>
      <c r="N142" s="58" t="s">
        <v>43</v>
      </c>
      <c r="O142" s="58" t="s">
        <v>53</v>
      </c>
      <c r="P142" s="58" t="s">
        <v>43</v>
      </c>
      <c r="Q142" s="309" t="s">
        <v>1157</v>
      </c>
    </row>
    <row r="143">
      <c r="A143" s="36">
        <v>142.0</v>
      </c>
      <c r="B143" s="38">
        <v>46425.0</v>
      </c>
      <c r="C143" s="40" t="s">
        <v>148</v>
      </c>
      <c r="D143" s="42">
        <v>14.0</v>
      </c>
      <c r="E143" s="58" t="s">
        <v>1155</v>
      </c>
      <c r="F143" s="274"/>
      <c r="G143" s="58"/>
      <c r="H143" s="427"/>
      <c r="I143" s="56">
        <v>150.0</v>
      </c>
      <c r="J143" s="58" t="s">
        <v>43</v>
      </c>
      <c r="K143" s="58" t="s">
        <v>43</v>
      </c>
      <c r="L143" s="58" t="s">
        <v>43</v>
      </c>
      <c r="M143" s="58" t="s">
        <v>51</v>
      </c>
      <c r="N143" s="58" t="s">
        <v>43</v>
      </c>
      <c r="O143" s="58" t="s">
        <v>53</v>
      </c>
      <c r="P143" s="58" t="s">
        <v>43</v>
      </c>
      <c r="Q143" s="309" t="s">
        <v>1157</v>
      </c>
    </row>
    <row r="144">
      <c r="A144" s="36">
        <v>143.0</v>
      </c>
      <c r="B144" s="38">
        <v>46426.0</v>
      </c>
      <c r="C144" s="40" t="s">
        <v>155</v>
      </c>
      <c r="D144" s="430">
        <v>15.0</v>
      </c>
      <c r="E144" s="58" t="s">
        <v>649</v>
      </c>
      <c r="F144" s="274"/>
      <c r="G144" s="58"/>
      <c r="H144" s="436">
        <v>3.0</v>
      </c>
      <c r="I144" s="56">
        <v>150.0</v>
      </c>
      <c r="J144" s="58" t="s">
        <v>43</v>
      </c>
      <c r="K144" s="58" t="s">
        <v>43</v>
      </c>
      <c r="L144" s="58" t="s">
        <v>43</v>
      </c>
      <c r="M144" s="58" t="s">
        <v>51</v>
      </c>
      <c r="N144" s="58" t="s">
        <v>43</v>
      </c>
      <c r="O144" s="58" t="s">
        <v>53</v>
      </c>
      <c r="P144" s="58" t="s">
        <v>43</v>
      </c>
      <c r="Q144" s="314" t="s">
        <v>1173</v>
      </c>
    </row>
    <row r="145">
      <c r="A145" s="36">
        <v>144.0</v>
      </c>
      <c r="B145" s="38">
        <v>46427.0</v>
      </c>
      <c r="C145" s="40" t="s">
        <v>74</v>
      </c>
      <c r="D145" s="430">
        <v>16.0</v>
      </c>
      <c r="E145" s="58" t="s">
        <v>649</v>
      </c>
      <c r="F145" s="364"/>
      <c r="G145" s="42"/>
      <c r="H145" s="427"/>
      <c r="I145" s="56">
        <v>150.0</v>
      </c>
      <c r="J145" s="58" t="s">
        <v>43</v>
      </c>
      <c r="K145" s="58" t="s">
        <v>43</v>
      </c>
      <c r="L145" s="58" t="s">
        <v>43</v>
      </c>
      <c r="M145" s="58" t="s">
        <v>51</v>
      </c>
      <c r="N145" s="58" t="s">
        <v>43</v>
      </c>
      <c r="O145" s="58" t="s">
        <v>53</v>
      </c>
      <c r="P145" s="58" t="s">
        <v>43</v>
      </c>
      <c r="Q145" s="158" t="s">
        <v>1173</v>
      </c>
    </row>
    <row r="146">
      <c r="A146" s="36">
        <v>145.0</v>
      </c>
      <c r="B146" s="38">
        <v>46428.0</v>
      </c>
      <c r="C146" s="40" t="s">
        <v>97</v>
      </c>
      <c r="D146" s="42">
        <v>17.0</v>
      </c>
      <c r="E146" s="58" t="s">
        <v>649</v>
      </c>
      <c r="F146" s="364"/>
      <c r="G146" s="42"/>
      <c r="H146" s="440"/>
      <c r="I146" s="56">
        <v>150.0</v>
      </c>
      <c r="J146" s="58" t="s">
        <v>43</v>
      </c>
      <c r="K146" s="58" t="s">
        <v>43</v>
      </c>
      <c r="L146" s="58" t="s">
        <v>43</v>
      </c>
      <c r="M146" s="58" t="s">
        <v>51</v>
      </c>
      <c r="N146" s="58" t="s">
        <v>43</v>
      </c>
      <c r="O146" s="58" t="s">
        <v>53</v>
      </c>
      <c r="P146" s="58" t="s">
        <v>43</v>
      </c>
      <c r="Q146" s="158" t="s">
        <v>1173</v>
      </c>
    </row>
    <row r="147">
      <c r="A147" s="36">
        <v>146.0</v>
      </c>
      <c r="B147" s="38">
        <v>46429.0</v>
      </c>
      <c r="C147" s="40" t="s">
        <v>110</v>
      </c>
      <c r="D147" s="206">
        <v>1.0</v>
      </c>
      <c r="E147" s="402" t="s">
        <v>1201</v>
      </c>
      <c r="F147" s="406"/>
      <c r="G147" s="206"/>
      <c r="H147" s="211">
        <v>1.0</v>
      </c>
      <c r="I147" s="56">
        <v>150.0</v>
      </c>
      <c r="J147" s="58" t="s">
        <v>584</v>
      </c>
      <c r="K147" s="58"/>
      <c r="L147" s="123"/>
      <c r="M147" s="146"/>
      <c r="N147" s="123"/>
      <c r="O147" s="123"/>
      <c r="P147" s="58"/>
      <c r="Q147" s="61"/>
    </row>
    <row r="148">
      <c r="A148" s="36">
        <v>147.0</v>
      </c>
      <c r="B148" s="38">
        <v>46430.0</v>
      </c>
      <c r="C148" s="40" t="s">
        <v>120</v>
      </c>
      <c r="D148" s="206">
        <v>2.0</v>
      </c>
      <c r="E148" s="402" t="s">
        <v>1205</v>
      </c>
      <c r="F148" s="406"/>
      <c r="G148" s="110"/>
      <c r="H148" s="259"/>
      <c r="I148" s="56">
        <v>150.0</v>
      </c>
      <c r="J148" s="58" t="s">
        <v>584</v>
      </c>
      <c r="K148" s="58"/>
      <c r="L148" s="123"/>
      <c r="M148" s="123"/>
      <c r="N148" s="123"/>
      <c r="O148" s="123"/>
      <c r="P148" s="58"/>
      <c r="Q148" s="61"/>
    </row>
    <row r="149">
      <c r="A149" s="36">
        <v>148.0</v>
      </c>
      <c r="B149" s="38">
        <v>46431.0</v>
      </c>
      <c r="C149" s="40" t="s">
        <v>132</v>
      </c>
      <c r="D149" s="206">
        <v>3.0</v>
      </c>
      <c r="E149" s="402" t="s">
        <v>1212</v>
      </c>
      <c r="F149" s="406"/>
      <c r="G149" s="206"/>
      <c r="H149" s="211"/>
      <c r="I149" s="56">
        <v>150.0</v>
      </c>
      <c r="J149" s="58" t="s">
        <v>584</v>
      </c>
      <c r="K149" s="58"/>
      <c r="L149" s="123"/>
      <c r="M149" s="123"/>
      <c r="N149" s="123"/>
      <c r="O149" s="123"/>
      <c r="P149" s="58"/>
      <c r="Q149" s="445"/>
    </row>
    <row r="150">
      <c r="A150" s="36">
        <v>149.0</v>
      </c>
      <c r="B150" s="38">
        <v>46432.0</v>
      </c>
      <c r="C150" s="40" t="s">
        <v>148</v>
      </c>
      <c r="D150" s="446">
        <v>1.0</v>
      </c>
      <c r="E150" s="61" t="s">
        <v>1215</v>
      </c>
      <c r="F150" s="58" t="s">
        <v>79</v>
      </c>
      <c r="G150" s="110"/>
      <c r="H150" s="259"/>
      <c r="I150" s="227">
        <v>1200.0</v>
      </c>
      <c r="J150" s="58" t="s">
        <v>43</v>
      </c>
      <c r="K150" s="58" t="s">
        <v>53</v>
      </c>
      <c r="L150" s="123" t="s">
        <v>43</v>
      </c>
      <c r="M150" s="123"/>
      <c r="N150" s="58" t="s">
        <v>43</v>
      </c>
      <c r="O150" s="58" t="s">
        <v>53</v>
      </c>
      <c r="P150" s="58" t="s">
        <v>43</v>
      </c>
      <c r="Q150" s="445"/>
    </row>
    <row r="151">
      <c r="A151" s="36">
        <v>150.0</v>
      </c>
      <c r="B151" s="38">
        <v>46433.0</v>
      </c>
      <c r="C151" s="40" t="s">
        <v>155</v>
      </c>
      <c r="D151" s="446">
        <v>2.0</v>
      </c>
      <c r="E151" s="61" t="s">
        <v>1215</v>
      </c>
      <c r="F151" s="58" t="s">
        <v>79</v>
      </c>
      <c r="G151" s="58">
        <v>40.0</v>
      </c>
      <c r="H151" s="266">
        <v>1.0</v>
      </c>
      <c r="I151" s="227">
        <v>1200.0</v>
      </c>
      <c r="J151" s="58" t="s">
        <v>43</v>
      </c>
      <c r="K151" s="58" t="s">
        <v>53</v>
      </c>
      <c r="L151" s="123" t="s">
        <v>43</v>
      </c>
      <c r="M151" s="123"/>
      <c r="N151" s="58" t="s">
        <v>43</v>
      </c>
      <c r="O151" s="58" t="s">
        <v>53</v>
      </c>
      <c r="P151" s="58" t="s">
        <v>43</v>
      </c>
      <c r="Q151" s="445"/>
    </row>
    <row r="152">
      <c r="A152" s="36">
        <v>151.0</v>
      </c>
      <c r="B152" s="38">
        <v>46434.0</v>
      </c>
      <c r="C152" s="40" t="s">
        <v>74</v>
      </c>
      <c r="D152" s="446">
        <v>3.0</v>
      </c>
      <c r="E152" s="61" t="s">
        <v>1218</v>
      </c>
      <c r="F152" s="58" t="s">
        <v>79</v>
      </c>
      <c r="G152" s="58">
        <v>120.0</v>
      </c>
      <c r="H152" s="266">
        <v>2.3</v>
      </c>
      <c r="I152" s="227">
        <v>1200.0</v>
      </c>
      <c r="J152" s="58" t="s">
        <v>43</v>
      </c>
      <c r="K152" s="58" t="s">
        <v>53</v>
      </c>
      <c r="L152" s="123" t="s">
        <v>43</v>
      </c>
      <c r="M152" s="146"/>
      <c r="N152" s="58" t="s">
        <v>43</v>
      </c>
      <c r="O152" s="58" t="s">
        <v>53</v>
      </c>
      <c r="P152" s="58" t="s">
        <v>43</v>
      </c>
      <c r="Q152" s="445"/>
    </row>
    <row r="153">
      <c r="A153" s="36">
        <v>152.0</v>
      </c>
      <c r="B153" s="38">
        <v>46435.0</v>
      </c>
      <c r="C153" s="40" t="s">
        <v>97</v>
      </c>
      <c r="D153" s="446">
        <v>4.0</v>
      </c>
      <c r="E153" s="61" t="s">
        <v>1218</v>
      </c>
      <c r="F153" s="58" t="s">
        <v>79</v>
      </c>
      <c r="G153" s="110"/>
      <c r="H153" s="259"/>
      <c r="I153" s="227">
        <v>1200.0</v>
      </c>
      <c r="J153" s="58" t="s">
        <v>43</v>
      </c>
      <c r="K153" s="58" t="s">
        <v>53</v>
      </c>
      <c r="L153" s="123" t="s">
        <v>43</v>
      </c>
      <c r="M153" s="123"/>
      <c r="N153" s="58" t="s">
        <v>43</v>
      </c>
      <c r="O153" s="58" t="s">
        <v>53</v>
      </c>
      <c r="P153" s="58" t="s">
        <v>43</v>
      </c>
      <c r="Q153" s="445"/>
    </row>
    <row r="154">
      <c r="A154" s="36">
        <v>153.0</v>
      </c>
      <c r="B154" s="38">
        <v>46436.0</v>
      </c>
      <c r="C154" s="40" t="s">
        <v>110</v>
      </c>
      <c r="D154" s="446">
        <v>5.0</v>
      </c>
      <c r="E154" s="61" t="s">
        <v>1221</v>
      </c>
      <c r="F154" s="58" t="s">
        <v>79</v>
      </c>
      <c r="G154" s="58">
        <v>60.0</v>
      </c>
      <c r="H154" s="266">
        <v>1.15</v>
      </c>
      <c r="I154" s="227">
        <v>1200.0</v>
      </c>
      <c r="J154" s="58" t="s">
        <v>43</v>
      </c>
      <c r="K154" s="58" t="s">
        <v>53</v>
      </c>
      <c r="L154" s="123" t="s">
        <v>43</v>
      </c>
      <c r="M154" s="123"/>
      <c r="N154" s="58" t="s">
        <v>43</v>
      </c>
      <c r="O154" s="58" t="s">
        <v>53</v>
      </c>
      <c r="P154" s="58" t="s">
        <v>43</v>
      </c>
      <c r="Q154" s="445"/>
    </row>
    <row r="155">
      <c r="A155" s="36">
        <v>154.0</v>
      </c>
      <c r="B155" s="38">
        <v>46437.0</v>
      </c>
      <c r="C155" s="40" t="s">
        <v>120</v>
      </c>
      <c r="D155" s="446">
        <v>6.0</v>
      </c>
      <c r="E155" s="61" t="s">
        <v>1221</v>
      </c>
      <c r="F155" s="58" t="s">
        <v>79</v>
      </c>
      <c r="G155" s="58">
        <v>210.0</v>
      </c>
      <c r="H155" s="266">
        <v>5.0</v>
      </c>
      <c r="I155" s="227">
        <v>1200.0</v>
      </c>
      <c r="J155" s="58" t="s">
        <v>43</v>
      </c>
      <c r="K155" s="58" t="s">
        <v>53</v>
      </c>
      <c r="L155" s="123" t="s">
        <v>43</v>
      </c>
      <c r="M155" s="123"/>
      <c r="N155" s="58" t="s">
        <v>43</v>
      </c>
      <c r="O155" s="58" t="s">
        <v>53</v>
      </c>
      <c r="P155" s="58" t="s">
        <v>43</v>
      </c>
      <c r="Q155" s="445"/>
    </row>
    <row r="156">
      <c r="A156" s="36">
        <v>155.0</v>
      </c>
      <c r="B156" s="38">
        <v>46438.0</v>
      </c>
      <c r="C156" s="40" t="s">
        <v>132</v>
      </c>
      <c r="D156" s="446">
        <v>7.0</v>
      </c>
      <c r="E156" s="61" t="s">
        <v>1224</v>
      </c>
      <c r="F156" s="58" t="s">
        <v>79</v>
      </c>
      <c r="G156" s="110"/>
      <c r="H156" s="259"/>
      <c r="I156" s="227">
        <v>1200.0</v>
      </c>
      <c r="J156" s="58" t="s">
        <v>43</v>
      </c>
      <c r="K156" s="58" t="s">
        <v>53</v>
      </c>
      <c r="L156" s="123" t="s">
        <v>43</v>
      </c>
      <c r="M156" s="123"/>
      <c r="N156" s="58" t="s">
        <v>43</v>
      </c>
      <c r="O156" s="58" t="s">
        <v>53</v>
      </c>
      <c r="P156" s="58" t="s">
        <v>43</v>
      </c>
      <c r="Q156" s="445"/>
    </row>
    <row r="157">
      <c r="A157" s="36">
        <v>156.0</v>
      </c>
      <c r="B157" s="38">
        <v>46439.0</v>
      </c>
      <c r="C157" s="40" t="s">
        <v>148</v>
      </c>
      <c r="D157" s="446">
        <v>8.0</v>
      </c>
      <c r="E157" s="61" t="s">
        <v>1224</v>
      </c>
      <c r="F157" s="58" t="s">
        <v>79</v>
      </c>
      <c r="G157" s="58">
        <v>120.0</v>
      </c>
      <c r="H157" s="266">
        <v>3.0</v>
      </c>
      <c r="I157" s="227">
        <v>1200.0</v>
      </c>
      <c r="J157" s="58" t="s">
        <v>43</v>
      </c>
      <c r="K157" s="58" t="s">
        <v>53</v>
      </c>
      <c r="L157" s="123" t="s">
        <v>43</v>
      </c>
      <c r="M157" s="123"/>
      <c r="N157" s="58" t="s">
        <v>43</v>
      </c>
      <c r="O157" s="58" t="s">
        <v>53</v>
      </c>
      <c r="P157" s="58" t="s">
        <v>43</v>
      </c>
      <c r="Q157" s="445"/>
    </row>
    <row r="158">
      <c r="A158" s="36">
        <v>157.0</v>
      </c>
      <c r="B158" s="38">
        <v>46440.0</v>
      </c>
      <c r="C158" s="40" t="s">
        <v>155</v>
      </c>
      <c r="D158" s="446">
        <v>9.0</v>
      </c>
      <c r="E158" s="447" t="s">
        <v>774</v>
      </c>
      <c r="F158" s="196"/>
      <c r="G158" s="58">
        <v>150.0</v>
      </c>
      <c r="H158" s="266">
        <v>3.3</v>
      </c>
      <c r="I158" s="227">
        <v>1200.0</v>
      </c>
      <c r="J158" s="58" t="s">
        <v>43</v>
      </c>
      <c r="K158" s="58" t="s">
        <v>53</v>
      </c>
      <c r="L158" s="123" t="s">
        <v>43</v>
      </c>
      <c r="M158" s="123"/>
      <c r="N158" s="58" t="s">
        <v>43</v>
      </c>
      <c r="O158" s="58" t="s">
        <v>53</v>
      </c>
      <c r="P158" s="58" t="s">
        <v>43</v>
      </c>
      <c r="Q158" s="445"/>
    </row>
    <row r="159">
      <c r="A159" s="36">
        <v>158.0</v>
      </c>
      <c r="B159" s="38">
        <v>46441.0</v>
      </c>
      <c r="C159" s="40" t="s">
        <v>74</v>
      </c>
      <c r="D159" s="446">
        <v>10.0</v>
      </c>
      <c r="E159" s="448" t="s">
        <v>1228</v>
      </c>
      <c r="F159" s="196"/>
      <c r="G159" s="58"/>
      <c r="H159" s="266"/>
      <c r="I159" s="227">
        <v>1200.0</v>
      </c>
      <c r="J159" s="58" t="s">
        <v>43</v>
      </c>
      <c r="K159" s="58" t="s">
        <v>53</v>
      </c>
      <c r="L159" s="123" t="s">
        <v>43</v>
      </c>
      <c r="M159" s="123"/>
      <c r="N159" s="58" t="s">
        <v>43</v>
      </c>
      <c r="O159" s="58" t="s">
        <v>53</v>
      </c>
      <c r="P159" s="58" t="s">
        <v>43</v>
      </c>
      <c r="Q159" s="443"/>
    </row>
    <row r="160">
      <c r="A160" s="350"/>
      <c r="B160" s="350"/>
      <c r="C160" s="449"/>
      <c r="D160" s="449"/>
      <c r="H160" s="450"/>
      <c r="Q160" s="443"/>
    </row>
    <row r="161">
      <c r="A161" s="350"/>
      <c r="B161" s="350"/>
      <c r="C161" s="449"/>
      <c r="D161" s="449"/>
      <c r="H161" s="450"/>
      <c r="Q161" s="443"/>
    </row>
    <row r="162">
      <c r="A162" s="350"/>
      <c r="B162" s="350"/>
      <c r="C162" s="449"/>
      <c r="D162" s="449"/>
      <c r="H162" s="450"/>
      <c r="Q162" s="443"/>
    </row>
    <row r="163">
      <c r="A163" s="451"/>
      <c r="B163" s="451"/>
      <c r="H163" s="450"/>
      <c r="Q163" s="443"/>
    </row>
    <row r="164">
      <c r="A164" s="350"/>
      <c r="B164" s="350"/>
      <c r="C164" s="449"/>
      <c r="D164" s="449"/>
      <c r="H164" s="450"/>
      <c r="Q164" s="443"/>
    </row>
    <row r="165">
      <c r="A165" s="350"/>
      <c r="B165" s="350"/>
      <c r="C165" s="449"/>
      <c r="D165" s="449"/>
      <c r="H165" s="450"/>
      <c r="Q165" s="443"/>
    </row>
    <row r="166">
      <c r="A166" s="444"/>
      <c r="B166" s="444"/>
      <c r="C166" s="444"/>
      <c r="D166" s="444"/>
      <c r="E166" s="444"/>
      <c r="H166" s="450"/>
      <c r="Q166" s="443"/>
    </row>
    <row r="167">
      <c r="A167" s="452"/>
      <c r="B167" s="452"/>
      <c r="H167" s="450"/>
      <c r="Q167" s="443"/>
    </row>
    <row r="168">
      <c r="A168" s="452"/>
      <c r="B168" s="452"/>
      <c r="H168" s="450"/>
      <c r="Q168" s="443"/>
    </row>
    <row r="169">
      <c r="A169" s="452"/>
      <c r="B169" s="452"/>
      <c r="H169" s="450"/>
      <c r="Q169" s="443"/>
    </row>
    <row r="170">
      <c r="A170" s="452"/>
      <c r="B170" s="452"/>
      <c r="H170" s="450"/>
      <c r="Q170" s="443"/>
    </row>
    <row r="171">
      <c r="A171" s="452"/>
      <c r="B171" s="452"/>
      <c r="H171" s="450"/>
      <c r="Q171" s="443"/>
    </row>
    <row r="172">
      <c r="A172" s="452"/>
      <c r="B172" s="452"/>
      <c r="H172" s="450"/>
      <c r="Q172" s="443"/>
    </row>
    <row r="173">
      <c r="A173" s="452"/>
      <c r="B173" s="452"/>
      <c r="H173" s="450"/>
      <c r="Q173" s="443"/>
    </row>
    <row r="174">
      <c r="A174" s="452"/>
      <c r="B174" s="452"/>
      <c r="H174" s="450"/>
      <c r="Q174" s="443"/>
    </row>
    <row r="175">
      <c r="A175" s="452"/>
      <c r="B175" s="452"/>
      <c r="H175" s="450"/>
      <c r="Q175" s="443"/>
    </row>
    <row r="176">
      <c r="A176" s="452"/>
      <c r="B176" s="452"/>
      <c r="H176" s="450"/>
      <c r="Q176" s="443"/>
    </row>
    <row r="177">
      <c r="A177" s="452"/>
      <c r="B177" s="452"/>
      <c r="H177" s="450"/>
      <c r="Q177" s="443"/>
    </row>
    <row r="178">
      <c r="A178" s="350"/>
      <c r="B178" s="350"/>
      <c r="C178" s="449"/>
      <c r="D178" s="449"/>
      <c r="H178" s="450"/>
      <c r="Q178" s="443"/>
    </row>
    <row r="179">
      <c r="A179" s="350"/>
      <c r="B179" s="350"/>
      <c r="C179" s="449"/>
      <c r="D179" s="449"/>
      <c r="H179" s="450"/>
      <c r="Q179" s="443"/>
    </row>
    <row r="180">
      <c r="A180" s="350"/>
      <c r="B180" s="350"/>
      <c r="C180" s="449"/>
      <c r="D180" s="449"/>
      <c r="H180" s="450"/>
      <c r="Q180" s="443"/>
    </row>
    <row r="181">
      <c r="A181" s="350"/>
      <c r="B181" s="350"/>
      <c r="C181" s="449"/>
      <c r="D181" s="449"/>
      <c r="H181" s="450"/>
      <c r="Q181" s="443"/>
    </row>
    <row r="182">
      <c r="A182" s="350"/>
      <c r="B182" s="350"/>
      <c r="C182" s="449"/>
      <c r="D182" s="449"/>
      <c r="H182" s="450"/>
      <c r="Q182" s="443"/>
    </row>
    <row r="183">
      <c r="A183" s="350"/>
      <c r="B183" s="350"/>
      <c r="C183" s="449"/>
      <c r="D183" s="449"/>
      <c r="H183" s="450"/>
      <c r="Q183" s="443"/>
    </row>
    <row r="184">
      <c r="A184" s="350"/>
      <c r="B184" s="350"/>
      <c r="C184" s="449"/>
      <c r="D184" s="449"/>
      <c r="H184" s="450"/>
      <c r="Q184" s="443"/>
    </row>
    <row r="185">
      <c r="A185" s="350"/>
      <c r="B185" s="350"/>
      <c r="C185" s="449"/>
      <c r="D185" s="449"/>
      <c r="H185" s="450"/>
      <c r="Q185" s="443"/>
    </row>
    <row r="186">
      <c r="A186" s="350"/>
      <c r="B186" s="350"/>
      <c r="C186" s="449"/>
      <c r="D186" s="449"/>
      <c r="H186" s="450"/>
      <c r="Q186" s="443"/>
    </row>
    <row r="187">
      <c r="A187" s="350"/>
      <c r="B187" s="350"/>
      <c r="C187" s="449"/>
      <c r="D187" s="449"/>
      <c r="H187" s="450"/>
      <c r="Q187" s="443"/>
    </row>
    <row r="188">
      <c r="A188" s="350"/>
      <c r="B188" s="350"/>
      <c r="C188" s="449"/>
      <c r="D188" s="449"/>
      <c r="H188" s="450"/>
      <c r="Q188" s="443"/>
    </row>
    <row r="189">
      <c r="A189" s="350"/>
      <c r="B189" s="350"/>
      <c r="C189" s="449"/>
      <c r="D189" s="449"/>
      <c r="H189" s="450"/>
      <c r="Q189" s="443"/>
    </row>
    <row r="190">
      <c r="A190" s="350"/>
      <c r="B190" s="350"/>
      <c r="C190" s="449"/>
      <c r="D190" s="449"/>
      <c r="H190" s="450"/>
      <c r="Q190" s="443"/>
    </row>
    <row r="191">
      <c r="A191" s="350"/>
      <c r="B191" s="350"/>
      <c r="C191" s="449"/>
      <c r="D191" s="449"/>
      <c r="H191" s="450"/>
      <c r="Q191" s="443"/>
    </row>
    <row r="192">
      <c r="A192" s="350"/>
      <c r="B192" s="350"/>
      <c r="C192" s="449"/>
      <c r="D192" s="449"/>
      <c r="H192" s="450"/>
      <c r="Q192" s="443"/>
    </row>
    <row r="193">
      <c r="A193" s="350"/>
      <c r="B193" s="350"/>
      <c r="C193" s="449"/>
      <c r="D193" s="449"/>
      <c r="H193" s="450"/>
      <c r="Q193" s="443"/>
    </row>
    <row r="194">
      <c r="A194" s="350"/>
      <c r="B194" s="350"/>
      <c r="C194" s="449"/>
      <c r="D194" s="449"/>
      <c r="H194" s="450"/>
      <c r="Q194" s="443"/>
    </row>
    <row r="195">
      <c r="A195" s="350"/>
      <c r="B195" s="350"/>
      <c r="C195" s="449"/>
      <c r="D195" s="449"/>
      <c r="H195" s="450"/>
      <c r="Q195" s="443"/>
    </row>
    <row r="196">
      <c r="A196" s="350"/>
      <c r="B196" s="350"/>
      <c r="C196" s="449"/>
      <c r="D196" s="449"/>
      <c r="H196" s="450"/>
      <c r="Q196" s="443"/>
    </row>
    <row r="197">
      <c r="A197" s="350"/>
      <c r="B197" s="350"/>
      <c r="C197" s="449"/>
      <c r="D197" s="449"/>
      <c r="H197" s="450"/>
      <c r="Q197" s="443"/>
    </row>
    <row r="198">
      <c r="A198" s="350"/>
      <c r="B198" s="350"/>
      <c r="C198" s="449"/>
      <c r="D198" s="449"/>
      <c r="H198" s="450"/>
      <c r="Q198" s="443"/>
    </row>
    <row r="199">
      <c r="A199" s="350"/>
      <c r="B199" s="350"/>
      <c r="C199" s="449"/>
      <c r="D199" s="449"/>
      <c r="H199" s="450"/>
      <c r="Q199" s="443"/>
    </row>
    <row r="200">
      <c r="A200" s="350"/>
      <c r="B200" s="350"/>
      <c r="C200" s="449"/>
      <c r="D200" s="449"/>
      <c r="H200" s="450"/>
      <c r="Q200" s="443"/>
    </row>
    <row r="201">
      <c r="A201" s="350"/>
      <c r="B201" s="350"/>
      <c r="C201" s="449"/>
      <c r="D201" s="449"/>
      <c r="H201" s="450"/>
      <c r="Q201" s="443"/>
    </row>
    <row r="202">
      <c r="A202" s="350"/>
      <c r="B202" s="350"/>
      <c r="C202" s="449"/>
      <c r="D202" s="449"/>
      <c r="H202" s="450"/>
      <c r="Q202" s="443"/>
    </row>
    <row r="203">
      <c r="A203" s="350"/>
      <c r="B203" s="350"/>
      <c r="C203" s="449"/>
      <c r="D203" s="449"/>
      <c r="H203" s="450"/>
      <c r="Q203" s="443"/>
    </row>
    <row r="204">
      <c r="A204" s="350"/>
      <c r="B204" s="350"/>
      <c r="C204" s="449"/>
      <c r="D204" s="449"/>
      <c r="H204" s="450"/>
      <c r="Q204" s="443"/>
    </row>
    <row r="205">
      <c r="A205" s="350"/>
      <c r="B205" s="350"/>
      <c r="C205" s="449"/>
      <c r="D205" s="449"/>
      <c r="H205" s="450"/>
      <c r="Q205" s="443"/>
    </row>
    <row r="206">
      <c r="A206" s="350"/>
      <c r="B206" s="350"/>
      <c r="C206" s="449"/>
      <c r="D206" s="449"/>
      <c r="H206" s="450"/>
      <c r="Q206" s="443"/>
    </row>
    <row r="207">
      <c r="A207" s="350"/>
      <c r="B207" s="350"/>
      <c r="C207" s="449"/>
      <c r="D207" s="449"/>
      <c r="H207" s="450"/>
      <c r="Q207" s="443"/>
    </row>
    <row r="208">
      <c r="A208" s="350"/>
      <c r="B208" s="350"/>
      <c r="C208" s="449"/>
      <c r="D208" s="449"/>
      <c r="H208" s="450"/>
      <c r="Q208" s="443"/>
    </row>
    <row r="209">
      <c r="A209" s="350"/>
      <c r="B209" s="350"/>
      <c r="C209" s="449"/>
      <c r="D209" s="449"/>
      <c r="H209" s="450"/>
      <c r="Q209" s="443"/>
    </row>
    <row r="210">
      <c r="A210" s="350"/>
      <c r="B210" s="350"/>
      <c r="C210" s="449"/>
      <c r="D210" s="449"/>
      <c r="H210" s="450"/>
      <c r="Q210" s="443"/>
    </row>
    <row r="211">
      <c r="A211" s="350"/>
      <c r="B211" s="350"/>
      <c r="C211" s="449"/>
      <c r="D211" s="449"/>
      <c r="H211" s="450"/>
      <c r="Q211" s="443"/>
    </row>
    <row r="212">
      <c r="A212" s="350"/>
      <c r="B212" s="350"/>
      <c r="C212" s="449"/>
      <c r="D212" s="449"/>
      <c r="H212" s="450"/>
      <c r="Q212" s="443"/>
    </row>
    <row r="213">
      <c r="A213" s="350"/>
      <c r="B213" s="350"/>
      <c r="C213" s="449"/>
      <c r="D213" s="449"/>
      <c r="H213" s="450"/>
      <c r="Q213" s="443"/>
    </row>
    <row r="214">
      <c r="A214" s="350"/>
      <c r="B214" s="350"/>
      <c r="C214" s="449"/>
      <c r="D214" s="449"/>
      <c r="H214" s="450"/>
      <c r="Q214" s="443"/>
    </row>
    <row r="215">
      <c r="A215" s="350"/>
      <c r="B215" s="350"/>
      <c r="C215" s="449"/>
      <c r="D215" s="449"/>
      <c r="H215" s="450"/>
      <c r="Q215" s="443"/>
    </row>
    <row r="216">
      <c r="A216" s="350"/>
      <c r="B216" s="350"/>
      <c r="C216" s="449"/>
      <c r="D216" s="449"/>
      <c r="H216" s="450"/>
      <c r="Q216" s="443"/>
    </row>
    <row r="217">
      <c r="A217" s="350"/>
      <c r="B217" s="350"/>
      <c r="C217" s="449"/>
      <c r="D217" s="449"/>
      <c r="H217" s="450"/>
      <c r="Q217" s="443"/>
    </row>
    <row r="218">
      <c r="A218" s="350"/>
      <c r="B218" s="350"/>
      <c r="C218" s="449"/>
      <c r="D218" s="449"/>
      <c r="H218" s="450"/>
      <c r="Q218" s="443"/>
    </row>
    <row r="219">
      <c r="A219" s="350"/>
      <c r="B219" s="350"/>
      <c r="C219" s="449"/>
      <c r="D219" s="449"/>
      <c r="H219" s="450"/>
      <c r="Q219" s="443"/>
    </row>
    <row r="220">
      <c r="A220" s="350"/>
      <c r="B220" s="350"/>
      <c r="C220" s="449"/>
      <c r="D220" s="449"/>
      <c r="H220" s="450"/>
      <c r="Q220" s="443"/>
    </row>
    <row r="221">
      <c r="A221" s="350"/>
      <c r="B221" s="350"/>
      <c r="C221" s="449"/>
      <c r="D221" s="449"/>
      <c r="H221" s="450"/>
      <c r="Q221" s="443"/>
    </row>
    <row r="222">
      <c r="A222" s="350"/>
      <c r="B222" s="350"/>
      <c r="C222" s="449"/>
      <c r="D222" s="449"/>
      <c r="H222" s="450"/>
      <c r="Q222" s="443"/>
    </row>
    <row r="223">
      <c r="A223" s="350"/>
      <c r="B223" s="350"/>
      <c r="C223" s="449"/>
      <c r="D223" s="449"/>
      <c r="H223" s="450"/>
      <c r="Q223" s="443"/>
    </row>
    <row r="224">
      <c r="A224" s="350"/>
      <c r="B224" s="350"/>
      <c r="C224" s="449"/>
      <c r="D224" s="449"/>
      <c r="H224" s="450"/>
      <c r="Q224" s="443"/>
    </row>
    <row r="225">
      <c r="A225" s="350"/>
      <c r="B225" s="350"/>
      <c r="C225" s="449"/>
      <c r="D225" s="449"/>
      <c r="H225" s="450"/>
      <c r="Q225" s="443"/>
    </row>
    <row r="226">
      <c r="A226" s="350"/>
      <c r="B226" s="350"/>
      <c r="C226" s="449"/>
      <c r="D226" s="449"/>
      <c r="H226" s="450"/>
      <c r="Q226" s="443"/>
    </row>
    <row r="227">
      <c r="A227" s="350"/>
      <c r="B227" s="350"/>
      <c r="C227" s="449"/>
      <c r="D227" s="449"/>
      <c r="H227" s="450"/>
      <c r="Q227" s="443"/>
    </row>
    <row r="228">
      <c r="A228" s="350"/>
      <c r="B228" s="350"/>
      <c r="C228" s="449"/>
      <c r="D228" s="449"/>
      <c r="H228" s="450"/>
      <c r="Q228" s="443"/>
    </row>
    <row r="229">
      <c r="A229" s="350"/>
      <c r="B229" s="350"/>
      <c r="C229" s="449"/>
      <c r="D229" s="449"/>
      <c r="H229" s="450"/>
      <c r="Q229" s="443"/>
    </row>
    <row r="230">
      <c r="A230" s="350"/>
      <c r="B230" s="350"/>
      <c r="C230" s="449"/>
      <c r="D230" s="449"/>
      <c r="H230" s="450"/>
      <c r="Q230" s="443"/>
    </row>
    <row r="231">
      <c r="A231" s="350"/>
      <c r="B231" s="350"/>
      <c r="C231" s="449"/>
      <c r="D231" s="449"/>
      <c r="H231" s="450"/>
      <c r="Q231" s="443"/>
    </row>
    <row r="232">
      <c r="A232" s="350"/>
      <c r="B232" s="350"/>
      <c r="C232" s="449"/>
      <c r="D232" s="449"/>
      <c r="H232" s="450"/>
      <c r="Q232" s="443"/>
    </row>
    <row r="233">
      <c r="A233" s="350"/>
      <c r="B233" s="350"/>
      <c r="C233" s="449"/>
      <c r="D233" s="449"/>
      <c r="H233" s="450"/>
      <c r="Q233" s="443"/>
    </row>
    <row r="234">
      <c r="A234" s="350"/>
      <c r="B234" s="350"/>
      <c r="C234" s="449"/>
      <c r="D234" s="449"/>
      <c r="H234" s="450"/>
      <c r="Q234" s="443"/>
    </row>
    <row r="235">
      <c r="A235" s="350"/>
      <c r="B235" s="350"/>
      <c r="C235" s="449"/>
      <c r="D235" s="449"/>
      <c r="H235" s="450"/>
      <c r="Q235" s="443"/>
    </row>
    <row r="236">
      <c r="A236" s="350"/>
      <c r="B236" s="350"/>
      <c r="C236" s="449"/>
      <c r="D236" s="449"/>
      <c r="H236" s="450"/>
      <c r="Q236" s="443"/>
    </row>
    <row r="237">
      <c r="A237" s="350"/>
      <c r="B237" s="350"/>
      <c r="C237" s="449"/>
      <c r="D237" s="449"/>
      <c r="H237" s="450"/>
      <c r="Q237" s="443"/>
    </row>
    <row r="238">
      <c r="A238" s="350"/>
      <c r="B238" s="350"/>
      <c r="C238" s="449"/>
      <c r="D238" s="449"/>
      <c r="H238" s="450"/>
      <c r="Q238" s="443"/>
    </row>
    <row r="239">
      <c r="A239" s="350"/>
      <c r="B239" s="350"/>
      <c r="C239" s="449"/>
      <c r="D239" s="449"/>
      <c r="H239" s="450"/>
      <c r="Q239" s="443"/>
    </row>
    <row r="240">
      <c r="A240" s="350"/>
      <c r="B240" s="350"/>
      <c r="C240" s="449"/>
      <c r="D240" s="449"/>
      <c r="H240" s="450"/>
      <c r="Q240" s="443"/>
    </row>
    <row r="241">
      <c r="A241" s="350"/>
      <c r="B241" s="350"/>
      <c r="C241" s="449"/>
      <c r="D241" s="449"/>
      <c r="H241" s="450"/>
      <c r="Q241" s="443"/>
    </row>
    <row r="242">
      <c r="A242" s="350"/>
      <c r="B242" s="350"/>
      <c r="C242" s="449"/>
      <c r="D242" s="449"/>
      <c r="H242" s="450"/>
      <c r="Q242" s="443"/>
    </row>
    <row r="243">
      <c r="A243" s="350"/>
      <c r="B243" s="350"/>
      <c r="C243" s="449"/>
      <c r="D243" s="449"/>
      <c r="H243" s="450"/>
      <c r="Q243" s="443"/>
    </row>
    <row r="244">
      <c r="A244" s="350"/>
      <c r="B244" s="350"/>
      <c r="C244" s="449"/>
      <c r="D244" s="449"/>
      <c r="H244" s="450"/>
      <c r="Q244" s="443"/>
    </row>
    <row r="245">
      <c r="A245" s="350"/>
      <c r="B245" s="350"/>
      <c r="C245" s="449"/>
      <c r="D245" s="449"/>
      <c r="H245" s="450"/>
      <c r="Q245" s="443"/>
    </row>
    <row r="246">
      <c r="A246" s="350"/>
      <c r="B246" s="350"/>
      <c r="C246" s="449"/>
      <c r="D246" s="449"/>
      <c r="H246" s="450"/>
      <c r="Q246" s="443"/>
    </row>
    <row r="247">
      <c r="A247" s="350"/>
      <c r="B247" s="350"/>
      <c r="C247" s="449"/>
      <c r="D247" s="449"/>
      <c r="H247" s="450"/>
      <c r="Q247" s="443"/>
    </row>
    <row r="248">
      <c r="A248" s="350"/>
      <c r="B248" s="350"/>
      <c r="C248" s="449"/>
      <c r="D248" s="449"/>
      <c r="H248" s="450"/>
      <c r="Q248" s="443"/>
    </row>
    <row r="249">
      <c r="A249" s="350"/>
      <c r="B249" s="350"/>
      <c r="C249" s="449"/>
      <c r="D249" s="449"/>
      <c r="H249" s="450"/>
      <c r="Q249" s="443"/>
    </row>
    <row r="250">
      <c r="A250" s="350"/>
      <c r="B250" s="350"/>
      <c r="C250" s="449"/>
      <c r="D250" s="449"/>
      <c r="H250" s="450"/>
      <c r="Q250" s="443"/>
    </row>
    <row r="251">
      <c r="A251" s="350"/>
      <c r="B251" s="350"/>
      <c r="C251" s="449"/>
      <c r="D251" s="449"/>
      <c r="H251" s="450"/>
      <c r="Q251" s="443"/>
    </row>
    <row r="252">
      <c r="A252" s="350"/>
      <c r="B252" s="350"/>
      <c r="C252" s="449"/>
      <c r="D252" s="449"/>
      <c r="H252" s="450"/>
      <c r="Q252" s="443"/>
    </row>
    <row r="253">
      <c r="A253" s="350"/>
      <c r="B253" s="350"/>
      <c r="C253" s="449"/>
      <c r="D253" s="449"/>
      <c r="H253" s="450"/>
      <c r="Q253" s="443"/>
    </row>
    <row r="254">
      <c r="A254" s="350"/>
      <c r="B254" s="350"/>
      <c r="C254" s="449"/>
      <c r="D254" s="449"/>
      <c r="H254" s="450"/>
      <c r="Q254" s="443"/>
    </row>
    <row r="255">
      <c r="A255" s="350"/>
      <c r="B255" s="350"/>
      <c r="C255" s="449"/>
      <c r="D255" s="449"/>
      <c r="H255" s="450"/>
      <c r="Q255" s="443"/>
    </row>
    <row r="256">
      <c r="A256" s="350"/>
      <c r="B256" s="350"/>
      <c r="C256" s="449"/>
      <c r="D256" s="449"/>
      <c r="H256" s="450"/>
      <c r="Q256" s="443"/>
    </row>
    <row r="257">
      <c r="A257" s="350"/>
      <c r="B257" s="350"/>
      <c r="C257" s="449"/>
      <c r="D257" s="449"/>
      <c r="H257" s="450"/>
      <c r="Q257" s="443"/>
    </row>
    <row r="258">
      <c r="A258" s="350"/>
      <c r="B258" s="350"/>
      <c r="C258" s="449"/>
      <c r="D258" s="449"/>
      <c r="H258" s="450"/>
      <c r="Q258" s="443"/>
    </row>
    <row r="259">
      <c r="A259" s="350"/>
      <c r="B259" s="350"/>
      <c r="C259" s="449"/>
      <c r="D259" s="449"/>
      <c r="H259" s="450"/>
      <c r="Q259" s="443"/>
    </row>
    <row r="260">
      <c r="A260" s="350"/>
      <c r="B260" s="350"/>
      <c r="C260" s="449"/>
      <c r="D260" s="449"/>
      <c r="H260" s="450"/>
      <c r="Q260" s="443"/>
    </row>
    <row r="261">
      <c r="A261" s="350"/>
      <c r="B261" s="350"/>
      <c r="C261" s="449"/>
      <c r="D261" s="449"/>
      <c r="H261" s="450"/>
      <c r="Q261" s="443"/>
    </row>
    <row r="262">
      <c r="A262" s="350"/>
      <c r="B262" s="350"/>
      <c r="C262" s="449"/>
      <c r="D262" s="449"/>
      <c r="H262" s="450"/>
      <c r="Q262" s="443"/>
    </row>
    <row r="263">
      <c r="A263" s="350"/>
      <c r="B263" s="350"/>
      <c r="C263" s="449"/>
      <c r="D263" s="449"/>
      <c r="H263" s="450"/>
      <c r="Q263" s="443"/>
    </row>
    <row r="264">
      <c r="A264" s="350"/>
      <c r="B264" s="350"/>
      <c r="C264" s="449"/>
      <c r="D264" s="449"/>
      <c r="H264" s="450"/>
      <c r="Q264" s="443"/>
    </row>
    <row r="265">
      <c r="A265" s="350"/>
      <c r="B265" s="350"/>
      <c r="C265" s="449"/>
      <c r="D265" s="449"/>
      <c r="H265" s="450"/>
      <c r="Q265" s="443"/>
    </row>
    <row r="266">
      <c r="A266" s="350"/>
      <c r="B266" s="350"/>
      <c r="C266" s="449"/>
      <c r="D266" s="449"/>
      <c r="H266" s="450"/>
      <c r="Q266" s="443"/>
    </row>
    <row r="267">
      <c r="A267" s="350"/>
      <c r="B267" s="350"/>
      <c r="C267" s="449"/>
      <c r="D267" s="449"/>
      <c r="H267" s="450"/>
      <c r="Q267" s="443"/>
    </row>
    <row r="268">
      <c r="A268" s="350"/>
      <c r="B268" s="350"/>
      <c r="C268" s="449"/>
      <c r="D268" s="449"/>
      <c r="H268" s="450"/>
      <c r="Q268" s="443"/>
    </row>
    <row r="269">
      <c r="A269" s="350"/>
      <c r="B269" s="350"/>
      <c r="C269" s="449"/>
      <c r="D269" s="449"/>
      <c r="H269" s="450"/>
      <c r="Q269" s="443"/>
    </row>
    <row r="270">
      <c r="A270" s="350"/>
      <c r="B270" s="350"/>
      <c r="C270" s="449"/>
      <c r="D270" s="449"/>
      <c r="H270" s="450"/>
      <c r="Q270" s="443"/>
    </row>
    <row r="271">
      <c r="A271" s="350"/>
      <c r="B271" s="350"/>
      <c r="C271" s="449"/>
      <c r="D271" s="449"/>
      <c r="H271" s="450"/>
      <c r="Q271" s="443"/>
    </row>
    <row r="272">
      <c r="A272" s="350"/>
      <c r="B272" s="350"/>
      <c r="C272" s="449"/>
      <c r="D272" s="449"/>
      <c r="H272" s="450"/>
      <c r="Q272" s="443"/>
    </row>
    <row r="273">
      <c r="A273" s="350"/>
      <c r="B273" s="350"/>
      <c r="C273" s="449"/>
      <c r="D273" s="449"/>
      <c r="H273" s="450"/>
      <c r="Q273" s="443"/>
    </row>
    <row r="274">
      <c r="A274" s="350"/>
      <c r="B274" s="350"/>
      <c r="C274" s="449"/>
      <c r="D274" s="449"/>
      <c r="H274" s="450"/>
      <c r="Q274" s="443"/>
    </row>
    <row r="275">
      <c r="A275" s="350"/>
      <c r="B275" s="350"/>
      <c r="C275" s="449"/>
      <c r="D275" s="449"/>
      <c r="H275" s="450"/>
      <c r="Q275" s="443"/>
    </row>
    <row r="276">
      <c r="A276" s="350"/>
      <c r="B276" s="350"/>
      <c r="C276" s="449"/>
      <c r="D276" s="449"/>
      <c r="H276" s="450"/>
      <c r="Q276" s="443"/>
    </row>
    <row r="277">
      <c r="A277" s="350"/>
      <c r="B277" s="350"/>
      <c r="C277" s="449"/>
      <c r="D277" s="449"/>
      <c r="H277" s="450"/>
      <c r="Q277" s="443"/>
    </row>
    <row r="278">
      <c r="A278" s="350"/>
      <c r="B278" s="350"/>
      <c r="C278" s="449"/>
      <c r="D278" s="449"/>
      <c r="H278" s="450"/>
      <c r="Q278" s="443"/>
    </row>
    <row r="279">
      <c r="A279" s="350"/>
      <c r="B279" s="350"/>
      <c r="C279" s="449"/>
      <c r="D279" s="449"/>
      <c r="H279" s="450"/>
      <c r="Q279" s="443"/>
    </row>
    <row r="280">
      <c r="A280" s="350"/>
      <c r="B280" s="350"/>
      <c r="C280" s="449"/>
      <c r="D280" s="449"/>
      <c r="H280" s="450"/>
      <c r="Q280" s="443"/>
    </row>
    <row r="281">
      <c r="A281" s="350"/>
      <c r="B281" s="350"/>
      <c r="C281" s="449"/>
      <c r="D281" s="449"/>
      <c r="H281" s="450"/>
      <c r="Q281" s="443"/>
    </row>
    <row r="282">
      <c r="A282" s="350"/>
      <c r="B282" s="350"/>
      <c r="C282" s="449"/>
      <c r="D282" s="449"/>
      <c r="H282" s="450"/>
      <c r="Q282" s="443"/>
    </row>
    <row r="283">
      <c r="A283" s="350"/>
      <c r="B283" s="350"/>
      <c r="C283" s="449"/>
      <c r="D283" s="449"/>
      <c r="H283" s="450"/>
      <c r="Q283" s="443"/>
    </row>
    <row r="284">
      <c r="A284" s="350"/>
      <c r="B284" s="350"/>
      <c r="C284" s="449"/>
      <c r="D284" s="449"/>
      <c r="H284" s="450"/>
      <c r="Q284" s="443"/>
    </row>
    <row r="285">
      <c r="A285" s="350"/>
      <c r="B285" s="350"/>
      <c r="C285" s="449"/>
      <c r="D285" s="449"/>
      <c r="H285" s="450"/>
      <c r="Q285" s="443"/>
    </row>
    <row r="286">
      <c r="A286" s="350"/>
      <c r="B286" s="350"/>
      <c r="C286" s="449"/>
      <c r="D286" s="449"/>
      <c r="H286" s="450"/>
      <c r="Q286" s="443"/>
    </row>
    <row r="287">
      <c r="A287" s="350"/>
      <c r="B287" s="350"/>
      <c r="C287" s="449"/>
      <c r="D287" s="449"/>
      <c r="H287" s="450"/>
      <c r="Q287" s="443"/>
    </row>
    <row r="288">
      <c r="A288" s="350"/>
      <c r="B288" s="350"/>
      <c r="C288" s="449"/>
      <c r="D288" s="449"/>
      <c r="H288" s="450"/>
      <c r="Q288" s="443"/>
    </row>
    <row r="289">
      <c r="A289" s="350"/>
      <c r="B289" s="350"/>
      <c r="C289" s="449"/>
      <c r="D289" s="449"/>
      <c r="H289" s="450"/>
      <c r="Q289" s="443"/>
    </row>
    <row r="290">
      <c r="A290" s="350"/>
      <c r="B290" s="350"/>
      <c r="C290" s="449"/>
      <c r="D290" s="449"/>
      <c r="H290" s="450"/>
      <c r="Q290" s="443"/>
    </row>
    <row r="291">
      <c r="A291" s="350"/>
      <c r="B291" s="350"/>
      <c r="C291" s="449"/>
      <c r="D291" s="449"/>
      <c r="H291" s="450"/>
      <c r="Q291" s="443"/>
    </row>
    <row r="292">
      <c r="A292" s="350"/>
      <c r="B292" s="350"/>
      <c r="C292" s="449"/>
      <c r="D292" s="449"/>
      <c r="H292" s="450"/>
      <c r="Q292" s="443"/>
    </row>
    <row r="293">
      <c r="A293" s="350"/>
      <c r="B293" s="350"/>
      <c r="C293" s="449"/>
      <c r="D293" s="449"/>
      <c r="H293" s="450"/>
      <c r="Q293" s="443"/>
    </row>
    <row r="294">
      <c r="A294" s="350"/>
      <c r="B294" s="350"/>
      <c r="C294" s="449"/>
      <c r="D294" s="449"/>
      <c r="H294" s="450"/>
      <c r="Q294" s="443"/>
    </row>
    <row r="295">
      <c r="A295" s="350"/>
      <c r="B295" s="350"/>
      <c r="C295" s="449"/>
      <c r="D295" s="449"/>
      <c r="H295" s="450"/>
      <c r="Q295" s="443"/>
    </row>
    <row r="296">
      <c r="A296" s="350"/>
      <c r="B296" s="350"/>
      <c r="C296" s="449"/>
      <c r="D296" s="449"/>
      <c r="H296" s="450"/>
      <c r="Q296" s="443"/>
    </row>
    <row r="297">
      <c r="A297" s="350"/>
      <c r="B297" s="350"/>
      <c r="C297" s="449"/>
      <c r="D297" s="449"/>
      <c r="H297" s="450"/>
      <c r="Q297" s="443"/>
    </row>
    <row r="298">
      <c r="A298" s="350"/>
      <c r="B298" s="350"/>
      <c r="C298" s="449"/>
      <c r="D298" s="449"/>
      <c r="H298" s="450"/>
      <c r="Q298" s="443"/>
    </row>
    <row r="299">
      <c r="A299" s="350"/>
      <c r="B299" s="350"/>
      <c r="C299" s="449"/>
      <c r="D299" s="449"/>
      <c r="H299" s="450"/>
      <c r="Q299" s="443"/>
    </row>
    <row r="300">
      <c r="A300" s="350"/>
      <c r="B300" s="350"/>
      <c r="C300" s="449"/>
      <c r="D300" s="449"/>
      <c r="H300" s="450"/>
      <c r="Q300" s="443"/>
    </row>
    <row r="301">
      <c r="A301" s="350"/>
      <c r="B301" s="350"/>
      <c r="C301" s="449"/>
      <c r="D301" s="449"/>
      <c r="H301" s="450"/>
      <c r="Q301" s="443"/>
    </row>
    <row r="302">
      <c r="A302" s="350"/>
      <c r="B302" s="350"/>
      <c r="C302" s="449"/>
      <c r="D302" s="449"/>
      <c r="H302" s="450"/>
      <c r="Q302" s="443"/>
    </row>
    <row r="303">
      <c r="A303" s="350"/>
      <c r="B303" s="350"/>
      <c r="C303" s="449"/>
      <c r="D303" s="449"/>
      <c r="H303" s="450"/>
      <c r="Q303" s="443"/>
    </row>
    <row r="304">
      <c r="A304" s="350"/>
      <c r="B304" s="350"/>
      <c r="C304" s="449"/>
      <c r="D304" s="449"/>
      <c r="H304" s="450"/>
      <c r="Q304" s="443"/>
    </row>
    <row r="305">
      <c r="A305" s="350"/>
      <c r="B305" s="350"/>
      <c r="C305" s="449"/>
      <c r="D305" s="449"/>
      <c r="H305" s="450"/>
      <c r="Q305" s="443"/>
    </row>
    <row r="306">
      <c r="A306" s="350"/>
      <c r="B306" s="350"/>
      <c r="C306" s="449"/>
      <c r="D306" s="449"/>
      <c r="H306" s="450"/>
      <c r="Q306" s="443"/>
    </row>
    <row r="307">
      <c r="A307" s="350"/>
      <c r="B307" s="350"/>
      <c r="C307" s="449"/>
      <c r="D307" s="449"/>
      <c r="H307" s="450"/>
      <c r="Q307" s="443"/>
    </row>
    <row r="308">
      <c r="A308" s="350"/>
      <c r="B308" s="350"/>
      <c r="C308" s="449"/>
      <c r="D308" s="449"/>
      <c r="H308" s="450"/>
      <c r="Q308" s="443"/>
    </row>
    <row r="309">
      <c r="A309" s="350"/>
      <c r="B309" s="350"/>
      <c r="C309" s="449"/>
      <c r="D309" s="449"/>
      <c r="H309" s="450"/>
      <c r="Q309" s="443"/>
    </row>
    <row r="310">
      <c r="A310" s="350"/>
      <c r="B310" s="350"/>
      <c r="C310" s="449"/>
      <c r="D310" s="449"/>
      <c r="H310" s="450"/>
      <c r="Q310" s="443"/>
    </row>
    <row r="311">
      <c r="A311" s="350"/>
      <c r="B311" s="350"/>
      <c r="C311" s="449"/>
      <c r="D311" s="449"/>
      <c r="H311" s="450"/>
      <c r="Q311" s="443"/>
    </row>
    <row r="312">
      <c r="A312" s="350"/>
      <c r="B312" s="350"/>
      <c r="C312" s="449"/>
      <c r="D312" s="449"/>
      <c r="H312" s="450"/>
      <c r="Q312" s="443"/>
    </row>
    <row r="313">
      <c r="A313" s="350"/>
      <c r="B313" s="350"/>
      <c r="C313" s="449"/>
      <c r="D313" s="449"/>
      <c r="H313" s="450"/>
      <c r="Q313" s="443"/>
    </row>
    <row r="314">
      <c r="A314" s="350"/>
      <c r="B314" s="350"/>
      <c r="C314" s="449"/>
      <c r="D314" s="449"/>
      <c r="H314" s="450"/>
      <c r="Q314" s="443"/>
    </row>
    <row r="315">
      <c r="A315" s="350"/>
      <c r="B315" s="350"/>
      <c r="C315" s="449"/>
      <c r="D315" s="449"/>
      <c r="H315" s="450"/>
      <c r="Q315" s="443"/>
    </row>
    <row r="316">
      <c r="A316" s="350"/>
      <c r="B316" s="350"/>
      <c r="C316" s="449"/>
      <c r="D316" s="449"/>
      <c r="H316" s="450"/>
      <c r="Q316" s="443"/>
    </row>
    <row r="317">
      <c r="A317" s="350"/>
      <c r="B317" s="350"/>
      <c r="C317" s="449"/>
      <c r="D317" s="449"/>
      <c r="H317" s="450"/>
      <c r="Q317" s="443"/>
    </row>
    <row r="318">
      <c r="A318" s="350"/>
      <c r="B318" s="350"/>
      <c r="C318" s="449"/>
      <c r="D318" s="449"/>
      <c r="H318" s="450"/>
      <c r="Q318" s="443"/>
    </row>
    <row r="319">
      <c r="A319" s="350"/>
      <c r="B319" s="350"/>
      <c r="C319" s="449"/>
      <c r="D319" s="449"/>
      <c r="H319" s="450"/>
      <c r="Q319" s="443"/>
    </row>
    <row r="320">
      <c r="A320" s="350"/>
      <c r="B320" s="350"/>
      <c r="C320" s="449"/>
      <c r="D320" s="449"/>
      <c r="H320" s="450"/>
      <c r="Q320" s="443"/>
    </row>
    <row r="321">
      <c r="A321" s="350"/>
      <c r="B321" s="350"/>
      <c r="C321" s="449"/>
      <c r="D321" s="449"/>
      <c r="H321" s="450"/>
      <c r="Q321" s="443"/>
    </row>
    <row r="322">
      <c r="A322" s="350"/>
      <c r="B322" s="350"/>
      <c r="C322" s="449"/>
      <c r="D322" s="449"/>
      <c r="H322" s="450"/>
      <c r="Q322" s="443"/>
    </row>
    <row r="323">
      <c r="A323" s="350"/>
      <c r="B323" s="350"/>
      <c r="C323" s="449"/>
      <c r="D323" s="449"/>
      <c r="H323" s="450"/>
      <c r="Q323" s="443"/>
    </row>
    <row r="324">
      <c r="A324" s="350"/>
      <c r="B324" s="350"/>
      <c r="C324" s="449"/>
      <c r="D324" s="449"/>
      <c r="H324" s="450"/>
      <c r="Q324" s="443"/>
    </row>
    <row r="325">
      <c r="A325" s="350"/>
      <c r="B325" s="350"/>
      <c r="C325" s="449"/>
      <c r="D325" s="449"/>
      <c r="H325" s="450"/>
      <c r="Q325" s="443"/>
    </row>
    <row r="326">
      <c r="A326" s="350"/>
      <c r="B326" s="350"/>
      <c r="C326" s="449"/>
      <c r="D326" s="449"/>
      <c r="H326" s="450"/>
      <c r="Q326" s="443"/>
    </row>
    <row r="327">
      <c r="A327" s="350"/>
      <c r="B327" s="350"/>
      <c r="C327" s="449"/>
      <c r="D327" s="449"/>
      <c r="H327" s="450"/>
      <c r="Q327" s="443"/>
    </row>
    <row r="328">
      <c r="A328" s="350"/>
      <c r="B328" s="350"/>
      <c r="C328" s="449"/>
      <c r="D328" s="449"/>
      <c r="H328" s="450"/>
      <c r="Q328" s="443"/>
    </row>
    <row r="329">
      <c r="A329" s="350"/>
      <c r="B329" s="350"/>
      <c r="C329" s="449"/>
      <c r="D329" s="449"/>
      <c r="H329" s="450"/>
      <c r="Q329" s="443"/>
    </row>
    <row r="330">
      <c r="A330" s="350"/>
      <c r="B330" s="350"/>
      <c r="C330" s="449"/>
      <c r="D330" s="449"/>
      <c r="H330" s="450"/>
      <c r="Q330" s="443"/>
    </row>
    <row r="331">
      <c r="A331" s="350"/>
      <c r="B331" s="350"/>
      <c r="C331" s="449"/>
      <c r="D331" s="449"/>
      <c r="H331" s="450"/>
      <c r="Q331" s="443"/>
    </row>
    <row r="332">
      <c r="A332" s="350"/>
      <c r="B332" s="350"/>
      <c r="C332" s="449"/>
      <c r="D332" s="449"/>
      <c r="H332" s="450"/>
      <c r="Q332" s="443"/>
    </row>
    <row r="333">
      <c r="A333" s="350"/>
      <c r="B333" s="350"/>
      <c r="C333" s="449"/>
      <c r="D333" s="449"/>
      <c r="H333" s="450"/>
      <c r="Q333" s="443"/>
    </row>
    <row r="334">
      <c r="A334" s="350"/>
      <c r="B334" s="350"/>
      <c r="C334" s="449"/>
      <c r="D334" s="449"/>
      <c r="H334" s="450"/>
      <c r="Q334" s="443"/>
    </row>
    <row r="335">
      <c r="A335" s="350"/>
      <c r="B335" s="350"/>
      <c r="C335" s="449"/>
      <c r="D335" s="449"/>
      <c r="H335" s="450"/>
      <c r="Q335" s="443"/>
    </row>
    <row r="336">
      <c r="A336" s="350"/>
      <c r="B336" s="350"/>
      <c r="C336" s="449"/>
      <c r="D336" s="449"/>
      <c r="H336" s="450"/>
      <c r="Q336" s="443"/>
    </row>
    <row r="337">
      <c r="A337" s="350"/>
      <c r="B337" s="350"/>
      <c r="C337" s="449"/>
      <c r="D337" s="449"/>
      <c r="H337" s="450"/>
      <c r="Q337" s="443"/>
    </row>
    <row r="338">
      <c r="A338" s="350"/>
      <c r="B338" s="350"/>
      <c r="C338" s="449"/>
      <c r="D338" s="449"/>
      <c r="H338" s="450"/>
      <c r="Q338" s="443"/>
    </row>
    <row r="339">
      <c r="A339" s="350"/>
      <c r="B339" s="350"/>
      <c r="C339" s="449"/>
      <c r="D339" s="449"/>
      <c r="H339" s="450"/>
      <c r="Q339" s="443"/>
    </row>
    <row r="340">
      <c r="A340" s="350"/>
      <c r="B340" s="350"/>
      <c r="C340" s="449"/>
      <c r="D340" s="449"/>
      <c r="H340" s="450"/>
      <c r="Q340" s="443"/>
    </row>
    <row r="341">
      <c r="A341" s="350"/>
      <c r="B341" s="350"/>
      <c r="C341" s="449"/>
      <c r="D341" s="449"/>
      <c r="H341" s="450"/>
      <c r="Q341" s="443"/>
    </row>
    <row r="342">
      <c r="A342" s="350"/>
      <c r="B342" s="350"/>
      <c r="C342" s="449"/>
      <c r="D342" s="449"/>
      <c r="H342" s="450"/>
      <c r="Q342" s="443"/>
    </row>
    <row r="343">
      <c r="A343" s="350"/>
      <c r="B343" s="350"/>
      <c r="C343" s="449"/>
      <c r="D343" s="449"/>
      <c r="H343" s="450"/>
      <c r="Q343" s="443"/>
    </row>
    <row r="344">
      <c r="A344" s="350"/>
      <c r="B344" s="350"/>
      <c r="C344" s="449"/>
      <c r="D344" s="449"/>
      <c r="H344" s="450"/>
      <c r="Q344" s="443"/>
    </row>
    <row r="345">
      <c r="A345" s="350"/>
      <c r="B345" s="350"/>
      <c r="C345" s="449"/>
      <c r="D345" s="449"/>
      <c r="H345" s="450"/>
      <c r="Q345" s="443"/>
    </row>
    <row r="346">
      <c r="A346" s="350"/>
      <c r="B346" s="350"/>
      <c r="C346" s="449"/>
      <c r="D346" s="449"/>
      <c r="H346" s="450"/>
      <c r="Q346" s="443"/>
    </row>
    <row r="347">
      <c r="A347" s="350"/>
      <c r="B347" s="350"/>
      <c r="C347" s="449"/>
      <c r="D347" s="449"/>
      <c r="H347" s="450"/>
      <c r="Q347" s="443"/>
    </row>
    <row r="348">
      <c r="A348" s="350"/>
      <c r="B348" s="350"/>
      <c r="C348" s="449"/>
      <c r="D348" s="449"/>
      <c r="H348" s="450"/>
      <c r="Q348" s="443"/>
    </row>
    <row r="349">
      <c r="A349" s="350"/>
      <c r="B349" s="350"/>
      <c r="C349" s="449"/>
      <c r="D349" s="449"/>
      <c r="H349" s="450"/>
      <c r="Q349" s="443"/>
    </row>
    <row r="350">
      <c r="A350" s="350"/>
      <c r="B350" s="350"/>
      <c r="C350" s="449"/>
      <c r="D350" s="449"/>
      <c r="H350" s="450"/>
      <c r="Q350" s="443"/>
    </row>
    <row r="351">
      <c r="A351" s="350"/>
      <c r="B351" s="350"/>
      <c r="C351" s="449"/>
      <c r="D351" s="449"/>
      <c r="H351" s="450"/>
      <c r="Q351" s="443"/>
    </row>
    <row r="352">
      <c r="A352" s="350"/>
      <c r="B352" s="350"/>
      <c r="C352" s="449"/>
      <c r="D352" s="449"/>
      <c r="H352" s="450"/>
      <c r="Q352" s="443"/>
    </row>
    <row r="353">
      <c r="A353" s="350"/>
      <c r="B353" s="350"/>
      <c r="C353" s="449"/>
      <c r="D353" s="449"/>
      <c r="H353" s="450"/>
      <c r="Q353" s="443"/>
    </row>
    <row r="354">
      <c r="A354" s="350"/>
      <c r="B354" s="350"/>
      <c r="C354" s="449"/>
      <c r="D354" s="449"/>
      <c r="H354" s="450"/>
      <c r="Q354" s="443"/>
    </row>
    <row r="355">
      <c r="A355" s="350"/>
      <c r="B355" s="350"/>
      <c r="C355" s="449"/>
      <c r="D355" s="449"/>
      <c r="H355" s="450"/>
      <c r="Q355" s="443"/>
    </row>
    <row r="356">
      <c r="A356" s="350"/>
      <c r="B356" s="350"/>
      <c r="C356" s="449"/>
      <c r="D356" s="449"/>
      <c r="H356" s="450"/>
      <c r="Q356" s="443"/>
    </row>
    <row r="357">
      <c r="A357" s="350"/>
      <c r="B357" s="350"/>
      <c r="C357" s="449"/>
      <c r="D357" s="449"/>
      <c r="H357" s="450"/>
      <c r="Q357" s="443"/>
    </row>
    <row r="358">
      <c r="A358" s="350"/>
      <c r="B358" s="350"/>
      <c r="C358" s="449"/>
      <c r="D358" s="449"/>
      <c r="H358" s="450"/>
      <c r="Q358" s="443"/>
    </row>
    <row r="359">
      <c r="A359" s="350"/>
      <c r="B359" s="350"/>
      <c r="C359" s="449"/>
      <c r="D359" s="449"/>
      <c r="H359" s="450"/>
      <c r="Q359" s="443"/>
    </row>
    <row r="360">
      <c r="A360" s="350"/>
      <c r="B360" s="350"/>
      <c r="C360" s="449"/>
      <c r="D360" s="449"/>
      <c r="H360" s="450"/>
      <c r="Q360" s="443"/>
    </row>
    <row r="361">
      <c r="A361" s="350"/>
      <c r="B361" s="350"/>
      <c r="C361" s="449"/>
      <c r="D361" s="449"/>
      <c r="H361" s="450"/>
      <c r="Q361" s="443"/>
    </row>
    <row r="362">
      <c r="A362" s="350"/>
      <c r="B362" s="350"/>
      <c r="C362" s="449"/>
      <c r="D362" s="449"/>
      <c r="H362" s="450"/>
      <c r="Q362" s="443"/>
    </row>
    <row r="363">
      <c r="A363" s="350"/>
      <c r="B363" s="350"/>
      <c r="C363" s="449"/>
      <c r="D363" s="449"/>
      <c r="H363" s="450"/>
      <c r="Q363" s="443"/>
    </row>
    <row r="364">
      <c r="A364" s="350"/>
      <c r="B364" s="350"/>
      <c r="C364" s="449"/>
      <c r="D364" s="449"/>
      <c r="H364" s="450"/>
      <c r="Q364" s="443"/>
    </row>
    <row r="365">
      <c r="A365" s="350"/>
      <c r="B365" s="350"/>
      <c r="C365" s="449"/>
      <c r="D365" s="449"/>
      <c r="H365" s="450"/>
      <c r="Q365" s="443"/>
    </row>
    <row r="366">
      <c r="A366" s="350"/>
      <c r="B366" s="350"/>
      <c r="C366" s="449"/>
      <c r="D366" s="449"/>
      <c r="H366" s="450"/>
      <c r="Q366" s="443"/>
    </row>
    <row r="367">
      <c r="A367" s="350"/>
      <c r="B367" s="350"/>
      <c r="C367" s="449"/>
      <c r="D367" s="449"/>
      <c r="H367" s="450"/>
      <c r="Q367" s="443"/>
    </row>
    <row r="368">
      <c r="A368" s="350"/>
      <c r="B368" s="350"/>
      <c r="C368" s="449"/>
      <c r="D368" s="449"/>
      <c r="H368" s="450"/>
      <c r="Q368" s="443"/>
    </row>
    <row r="369">
      <c r="A369" s="350"/>
      <c r="B369" s="350"/>
      <c r="C369" s="449"/>
      <c r="D369" s="449"/>
      <c r="H369" s="450"/>
      <c r="Q369" s="443"/>
    </row>
    <row r="370">
      <c r="A370" s="350"/>
      <c r="B370" s="350"/>
      <c r="C370" s="449"/>
      <c r="D370" s="449"/>
      <c r="H370" s="450"/>
      <c r="Q370" s="443"/>
    </row>
    <row r="371">
      <c r="A371" s="350"/>
      <c r="B371" s="350"/>
      <c r="C371" s="449"/>
      <c r="D371" s="449"/>
      <c r="H371" s="450"/>
      <c r="Q371" s="443"/>
    </row>
    <row r="372">
      <c r="A372" s="350"/>
      <c r="B372" s="350"/>
      <c r="C372" s="449"/>
      <c r="D372" s="449"/>
      <c r="H372" s="450"/>
      <c r="Q372" s="443"/>
    </row>
    <row r="373">
      <c r="A373" s="350"/>
      <c r="B373" s="350"/>
      <c r="C373" s="449"/>
      <c r="D373" s="449"/>
      <c r="H373" s="450"/>
      <c r="Q373" s="443"/>
    </row>
    <row r="374">
      <c r="A374" s="350"/>
      <c r="B374" s="350"/>
      <c r="C374" s="449"/>
      <c r="D374" s="449"/>
      <c r="H374" s="450"/>
      <c r="Q374" s="443"/>
    </row>
    <row r="375">
      <c r="A375" s="350"/>
      <c r="B375" s="350"/>
      <c r="C375" s="449"/>
      <c r="D375" s="449"/>
      <c r="H375" s="450"/>
      <c r="Q375" s="443"/>
    </row>
    <row r="376">
      <c r="A376" s="350"/>
      <c r="B376" s="350"/>
      <c r="C376" s="449"/>
      <c r="D376" s="449"/>
      <c r="H376" s="450"/>
      <c r="Q376" s="443"/>
    </row>
    <row r="377">
      <c r="A377" s="350"/>
      <c r="B377" s="350"/>
      <c r="C377" s="449"/>
      <c r="D377" s="449"/>
      <c r="H377" s="450"/>
      <c r="Q377" s="443"/>
    </row>
    <row r="378">
      <c r="A378" s="350"/>
      <c r="B378" s="350"/>
      <c r="C378" s="449"/>
      <c r="D378" s="449"/>
      <c r="H378" s="450"/>
      <c r="Q378" s="443"/>
    </row>
    <row r="379">
      <c r="A379" s="350"/>
      <c r="B379" s="350"/>
      <c r="C379" s="449"/>
      <c r="D379" s="449"/>
      <c r="H379" s="450"/>
      <c r="Q379" s="443"/>
    </row>
    <row r="380">
      <c r="A380" s="350"/>
      <c r="B380" s="350"/>
      <c r="C380" s="449"/>
      <c r="D380" s="449"/>
      <c r="H380" s="450"/>
      <c r="Q380" s="443"/>
    </row>
    <row r="381">
      <c r="A381" s="350"/>
      <c r="B381" s="350"/>
      <c r="C381" s="449"/>
      <c r="D381" s="449"/>
      <c r="H381" s="450"/>
      <c r="Q381" s="443"/>
    </row>
    <row r="382">
      <c r="A382" s="350"/>
      <c r="B382" s="350"/>
      <c r="C382" s="449"/>
      <c r="D382" s="449"/>
      <c r="H382" s="450"/>
      <c r="Q382" s="443"/>
    </row>
    <row r="383">
      <c r="A383" s="350"/>
      <c r="B383" s="350"/>
      <c r="C383" s="449"/>
      <c r="D383" s="449"/>
      <c r="H383" s="450"/>
      <c r="Q383" s="443"/>
    </row>
    <row r="384">
      <c r="A384" s="350"/>
      <c r="B384" s="350"/>
      <c r="C384" s="449"/>
      <c r="D384" s="449"/>
      <c r="H384" s="450"/>
      <c r="Q384" s="443"/>
    </row>
    <row r="385">
      <c r="A385" s="350"/>
      <c r="B385" s="350"/>
      <c r="C385" s="449"/>
      <c r="D385" s="449"/>
      <c r="H385" s="450"/>
      <c r="Q385" s="443"/>
    </row>
    <row r="386">
      <c r="A386" s="350"/>
      <c r="B386" s="350"/>
      <c r="C386" s="449"/>
      <c r="D386" s="449"/>
      <c r="H386" s="450"/>
      <c r="Q386" s="443"/>
    </row>
    <row r="387">
      <c r="A387" s="350"/>
      <c r="B387" s="350"/>
      <c r="C387" s="449"/>
      <c r="D387" s="449"/>
      <c r="H387" s="450"/>
      <c r="Q387" s="443"/>
    </row>
    <row r="388">
      <c r="A388" s="350"/>
      <c r="B388" s="350"/>
      <c r="C388" s="449"/>
      <c r="D388" s="449"/>
      <c r="H388" s="450"/>
      <c r="Q388" s="443"/>
    </row>
    <row r="389">
      <c r="A389" s="350"/>
      <c r="B389" s="350"/>
      <c r="C389" s="449"/>
      <c r="D389" s="449"/>
      <c r="H389" s="450"/>
      <c r="Q389" s="443"/>
    </row>
    <row r="390">
      <c r="A390" s="350"/>
      <c r="B390" s="350"/>
      <c r="C390" s="449"/>
      <c r="D390" s="449"/>
      <c r="H390" s="450"/>
      <c r="Q390" s="443"/>
    </row>
    <row r="391">
      <c r="A391" s="350"/>
      <c r="B391" s="350"/>
      <c r="C391" s="449"/>
      <c r="D391" s="449"/>
      <c r="H391" s="450"/>
      <c r="Q391" s="443"/>
    </row>
    <row r="392">
      <c r="A392" s="350"/>
      <c r="B392" s="350"/>
      <c r="C392" s="449"/>
      <c r="D392" s="449"/>
      <c r="H392" s="450"/>
      <c r="Q392" s="443"/>
    </row>
    <row r="393">
      <c r="A393" s="350"/>
      <c r="B393" s="350"/>
      <c r="C393" s="449"/>
      <c r="D393" s="449"/>
      <c r="H393" s="450"/>
      <c r="Q393" s="443"/>
    </row>
    <row r="394">
      <c r="A394" s="350"/>
      <c r="B394" s="350"/>
      <c r="C394" s="449"/>
      <c r="D394" s="449"/>
      <c r="H394" s="450"/>
      <c r="Q394" s="443"/>
    </row>
    <row r="395">
      <c r="A395" s="350"/>
      <c r="B395" s="350"/>
      <c r="C395" s="449"/>
      <c r="D395" s="449"/>
      <c r="H395" s="450"/>
      <c r="Q395" s="443"/>
    </row>
    <row r="396">
      <c r="A396" s="350"/>
      <c r="B396" s="350"/>
      <c r="C396" s="449"/>
      <c r="D396" s="449"/>
      <c r="H396" s="450"/>
      <c r="Q396" s="443"/>
    </row>
    <row r="397">
      <c r="A397" s="350"/>
      <c r="B397" s="350"/>
      <c r="C397" s="449"/>
      <c r="D397" s="449"/>
      <c r="H397" s="450"/>
      <c r="Q397" s="443"/>
    </row>
    <row r="398">
      <c r="A398" s="350"/>
      <c r="B398" s="350"/>
      <c r="C398" s="449"/>
      <c r="D398" s="449"/>
      <c r="H398" s="450"/>
      <c r="Q398" s="443"/>
    </row>
    <row r="399">
      <c r="A399" s="350"/>
      <c r="B399" s="350"/>
      <c r="C399" s="449"/>
      <c r="D399" s="449"/>
      <c r="H399" s="450"/>
      <c r="Q399" s="443"/>
    </row>
    <row r="400">
      <c r="A400" s="350"/>
      <c r="B400" s="350"/>
      <c r="C400" s="449"/>
      <c r="D400" s="449"/>
      <c r="H400" s="450"/>
      <c r="Q400" s="443"/>
    </row>
    <row r="401">
      <c r="A401" s="350"/>
      <c r="B401" s="350"/>
      <c r="C401" s="449"/>
      <c r="D401" s="449"/>
      <c r="H401" s="450"/>
      <c r="Q401" s="443"/>
    </row>
    <row r="402">
      <c r="A402" s="350"/>
      <c r="B402" s="350"/>
      <c r="C402" s="449"/>
      <c r="D402" s="449"/>
      <c r="H402" s="450"/>
      <c r="Q402" s="443"/>
    </row>
    <row r="403">
      <c r="A403" s="350"/>
      <c r="B403" s="350"/>
      <c r="C403" s="449"/>
      <c r="D403" s="449"/>
      <c r="H403" s="450"/>
      <c r="Q403" s="443"/>
    </row>
    <row r="404">
      <c r="A404" s="350"/>
      <c r="B404" s="350"/>
      <c r="C404" s="449"/>
      <c r="D404" s="449"/>
      <c r="H404" s="450"/>
      <c r="Q404" s="443"/>
    </row>
    <row r="405">
      <c r="A405" s="350"/>
      <c r="B405" s="350"/>
      <c r="C405" s="449"/>
      <c r="D405" s="449"/>
      <c r="H405" s="450"/>
      <c r="Q405" s="443"/>
    </row>
    <row r="406">
      <c r="A406" s="350"/>
      <c r="B406" s="350"/>
      <c r="C406" s="449"/>
      <c r="D406" s="449"/>
      <c r="H406" s="450"/>
      <c r="Q406" s="443"/>
    </row>
    <row r="407">
      <c r="A407" s="350"/>
      <c r="B407" s="350"/>
      <c r="C407" s="449"/>
      <c r="D407" s="449"/>
      <c r="H407" s="450"/>
      <c r="Q407" s="443"/>
    </row>
    <row r="408">
      <c r="A408" s="350"/>
      <c r="B408" s="350"/>
      <c r="C408" s="449"/>
      <c r="D408" s="449"/>
      <c r="H408" s="450"/>
      <c r="Q408" s="443"/>
    </row>
    <row r="409">
      <c r="A409" s="350"/>
      <c r="B409" s="350"/>
      <c r="C409" s="449"/>
      <c r="D409" s="449"/>
      <c r="H409" s="450"/>
      <c r="Q409" s="443"/>
    </row>
    <row r="410">
      <c r="A410" s="350"/>
      <c r="B410" s="350"/>
      <c r="C410" s="449"/>
      <c r="D410" s="449"/>
      <c r="H410" s="450"/>
      <c r="Q410" s="443"/>
    </row>
    <row r="411">
      <c r="A411" s="350"/>
      <c r="B411" s="350"/>
      <c r="C411" s="449"/>
      <c r="D411" s="449"/>
      <c r="H411" s="450"/>
      <c r="Q411" s="443"/>
    </row>
    <row r="412">
      <c r="A412" s="350"/>
      <c r="B412" s="350"/>
      <c r="C412" s="449"/>
      <c r="D412" s="449"/>
      <c r="H412" s="450"/>
      <c r="Q412" s="443"/>
    </row>
    <row r="413">
      <c r="A413" s="350"/>
      <c r="B413" s="350"/>
      <c r="C413" s="449"/>
      <c r="D413" s="449"/>
      <c r="H413" s="450"/>
      <c r="Q413" s="443"/>
    </row>
    <row r="414">
      <c r="A414" s="350"/>
      <c r="B414" s="350"/>
      <c r="C414" s="449"/>
      <c r="D414" s="449"/>
      <c r="H414" s="450"/>
      <c r="Q414" s="443"/>
    </row>
    <row r="415">
      <c r="A415" s="350"/>
      <c r="B415" s="350"/>
      <c r="C415" s="449"/>
      <c r="D415" s="449"/>
      <c r="H415" s="450"/>
      <c r="Q415" s="443"/>
    </row>
    <row r="416">
      <c r="A416" s="350"/>
      <c r="B416" s="350"/>
      <c r="C416" s="449"/>
      <c r="D416" s="449"/>
      <c r="H416" s="450"/>
      <c r="Q416" s="443"/>
    </row>
    <row r="417">
      <c r="A417" s="350"/>
      <c r="B417" s="350"/>
      <c r="C417" s="449"/>
      <c r="D417" s="449"/>
      <c r="H417" s="450"/>
      <c r="Q417" s="443"/>
    </row>
    <row r="418">
      <c r="A418" s="350"/>
      <c r="B418" s="350"/>
      <c r="C418" s="449"/>
      <c r="D418" s="449"/>
      <c r="H418" s="450"/>
      <c r="Q418" s="443"/>
    </row>
    <row r="419">
      <c r="A419" s="350"/>
      <c r="B419" s="350"/>
      <c r="C419" s="449"/>
      <c r="D419" s="449"/>
      <c r="H419" s="450"/>
      <c r="Q419" s="443"/>
    </row>
    <row r="420">
      <c r="A420" s="350"/>
      <c r="B420" s="350"/>
      <c r="C420" s="449"/>
      <c r="D420" s="449"/>
      <c r="H420" s="450"/>
      <c r="Q420" s="443"/>
    </row>
    <row r="421">
      <c r="A421" s="350"/>
      <c r="B421" s="350"/>
      <c r="C421" s="449"/>
      <c r="D421" s="449"/>
      <c r="H421" s="450"/>
      <c r="Q421" s="443"/>
    </row>
    <row r="422">
      <c r="A422" s="350"/>
      <c r="B422" s="350"/>
      <c r="C422" s="449"/>
      <c r="D422" s="449"/>
      <c r="H422" s="450"/>
      <c r="Q422" s="443"/>
    </row>
    <row r="423">
      <c r="A423" s="350"/>
      <c r="B423" s="350"/>
      <c r="C423" s="449"/>
      <c r="D423" s="449"/>
      <c r="H423" s="450"/>
      <c r="Q423" s="443"/>
    </row>
    <row r="424">
      <c r="A424" s="350"/>
      <c r="B424" s="350"/>
      <c r="C424" s="449"/>
      <c r="D424" s="449"/>
      <c r="H424" s="450"/>
      <c r="Q424" s="443"/>
    </row>
    <row r="425">
      <c r="A425" s="350"/>
      <c r="B425" s="350"/>
      <c r="C425" s="449"/>
      <c r="D425" s="449"/>
      <c r="H425" s="450"/>
      <c r="Q425" s="443"/>
    </row>
    <row r="426">
      <c r="A426" s="350"/>
      <c r="B426" s="350"/>
      <c r="C426" s="449"/>
      <c r="D426" s="449"/>
      <c r="H426" s="450"/>
      <c r="Q426" s="443"/>
    </row>
    <row r="427">
      <c r="A427" s="350"/>
      <c r="B427" s="350"/>
      <c r="C427" s="449"/>
      <c r="D427" s="449"/>
      <c r="H427" s="450"/>
      <c r="Q427" s="443"/>
    </row>
    <row r="428">
      <c r="A428" s="350"/>
      <c r="B428" s="350"/>
      <c r="C428" s="449"/>
      <c r="D428" s="449"/>
      <c r="H428" s="450"/>
      <c r="Q428" s="443"/>
    </row>
    <row r="429">
      <c r="A429" s="350"/>
      <c r="B429" s="350"/>
      <c r="C429" s="449"/>
      <c r="D429" s="449"/>
      <c r="H429" s="450"/>
      <c r="Q429" s="443"/>
    </row>
    <row r="430">
      <c r="A430" s="350"/>
      <c r="B430" s="350"/>
      <c r="C430" s="449"/>
      <c r="D430" s="449"/>
      <c r="H430" s="450"/>
      <c r="Q430" s="443"/>
    </row>
    <row r="431">
      <c r="A431" s="350"/>
      <c r="B431" s="350"/>
      <c r="C431" s="449"/>
      <c r="D431" s="449"/>
      <c r="H431" s="450"/>
      <c r="Q431" s="443"/>
    </row>
    <row r="432">
      <c r="A432" s="350"/>
      <c r="B432" s="350"/>
      <c r="C432" s="449"/>
      <c r="D432" s="449"/>
      <c r="H432" s="450"/>
      <c r="Q432" s="443"/>
    </row>
    <row r="433">
      <c r="A433" s="350"/>
      <c r="B433" s="350"/>
      <c r="C433" s="449"/>
      <c r="D433" s="449"/>
      <c r="H433" s="450"/>
      <c r="Q433" s="443"/>
    </row>
    <row r="434">
      <c r="A434" s="350"/>
      <c r="B434" s="350"/>
      <c r="C434" s="449"/>
      <c r="D434" s="449"/>
      <c r="H434" s="450"/>
      <c r="Q434" s="443"/>
    </row>
    <row r="435">
      <c r="A435" s="350"/>
      <c r="B435" s="350"/>
      <c r="C435" s="449"/>
      <c r="D435" s="449"/>
      <c r="H435" s="450"/>
      <c r="Q435" s="443"/>
    </row>
    <row r="436">
      <c r="A436" s="350"/>
      <c r="B436" s="350"/>
      <c r="C436" s="449"/>
      <c r="D436" s="449"/>
      <c r="H436" s="450"/>
      <c r="Q436" s="443"/>
    </row>
    <row r="437">
      <c r="A437" s="350"/>
      <c r="B437" s="350"/>
      <c r="C437" s="449"/>
      <c r="D437" s="449"/>
      <c r="H437" s="450"/>
      <c r="Q437" s="443"/>
    </row>
    <row r="438">
      <c r="A438" s="350"/>
      <c r="B438" s="350"/>
      <c r="C438" s="449"/>
      <c r="D438" s="449"/>
      <c r="H438" s="450"/>
      <c r="Q438" s="443"/>
    </row>
    <row r="439">
      <c r="A439" s="350"/>
      <c r="B439" s="350"/>
      <c r="C439" s="449"/>
      <c r="D439" s="449"/>
      <c r="H439" s="450"/>
      <c r="Q439" s="443"/>
    </row>
    <row r="440">
      <c r="A440" s="350"/>
      <c r="B440" s="350"/>
      <c r="C440" s="449"/>
      <c r="D440" s="449"/>
      <c r="H440" s="450"/>
      <c r="Q440" s="443"/>
    </row>
    <row r="441">
      <c r="A441" s="350"/>
      <c r="B441" s="350"/>
      <c r="C441" s="449"/>
      <c r="D441" s="449"/>
      <c r="H441" s="450"/>
      <c r="Q441" s="443"/>
    </row>
    <row r="442">
      <c r="A442" s="350"/>
      <c r="B442" s="350"/>
      <c r="C442" s="449"/>
      <c r="D442" s="449"/>
      <c r="H442" s="450"/>
      <c r="Q442" s="443"/>
    </row>
    <row r="443">
      <c r="A443" s="350"/>
      <c r="B443" s="350"/>
      <c r="C443" s="449"/>
      <c r="D443" s="449"/>
      <c r="H443" s="450"/>
      <c r="Q443" s="443"/>
    </row>
    <row r="444">
      <c r="A444" s="350"/>
      <c r="B444" s="350"/>
      <c r="C444" s="449"/>
      <c r="D444" s="449"/>
      <c r="H444" s="450"/>
      <c r="Q444" s="443"/>
    </row>
    <row r="445">
      <c r="A445" s="350"/>
      <c r="B445" s="350"/>
      <c r="C445" s="449"/>
      <c r="D445" s="449"/>
      <c r="H445" s="450"/>
      <c r="Q445" s="443"/>
    </row>
    <row r="446">
      <c r="A446" s="350"/>
      <c r="B446" s="350"/>
      <c r="C446" s="449"/>
      <c r="D446" s="449"/>
      <c r="H446" s="450"/>
      <c r="Q446" s="443"/>
    </row>
    <row r="447">
      <c r="A447" s="350"/>
      <c r="B447" s="350"/>
      <c r="C447" s="449"/>
      <c r="D447" s="449"/>
      <c r="H447" s="450"/>
      <c r="Q447" s="443"/>
    </row>
    <row r="448">
      <c r="A448" s="350"/>
      <c r="B448" s="350"/>
      <c r="C448" s="449"/>
      <c r="D448" s="449"/>
      <c r="H448" s="450"/>
      <c r="Q448" s="443"/>
    </row>
    <row r="449">
      <c r="A449" s="350"/>
      <c r="B449" s="350"/>
      <c r="C449" s="449"/>
      <c r="D449" s="449"/>
      <c r="H449" s="450"/>
      <c r="Q449" s="443"/>
    </row>
    <row r="450">
      <c r="A450" s="350"/>
      <c r="B450" s="350"/>
      <c r="C450" s="449"/>
      <c r="D450" s="449"/>
      <c r="H450" s="450"/>
      <c r="Q450" s="443"/>
    </row>
    <row r="451">
      <c r="A451" s="350"/>
      <c r="B451" s="350"/>
      <c r="C451" s="449"/>
      <c r="D451" s="449"/>
      <c r="H451" s="450"/>
      <c r="Q451" s="443"/>
    </row>
    <row r="452">
      <c r="A452" s="350"/>
      <c r="B452" s="350"/>
      <c r="C452" s="449"/>
      <c r="D452" s="449"/>
      <c r="H452" s="450"/>
      <c r="Q452" s="443"/>
    </row>
    <row r="453">
      <c r="A453" s="350"/>
      <c r="B453" s="350"/>
      <c r="C453" s="449"/>
      <c r="D453" s="449"/>
      <c r="H453" s="450"/>
      <c r="Q453" s="443"/>
    </row>
    <row r="454">
      <c r="A454" s="350"/>
      <c r="B454" s="350"/>
      <c r="C454" s="449"/>
      <c r="D454" s="449"/>
      <c r="H454" s="450"/>
      <c r="Q454" s="443"/>
    </row>
    <row r="455">
      <c r="A455" s="350"/>
      <c r="B455" s="350"/>
      <c r="C455" s="449"/>
      <c r="D455" s="449"/>
      <c r="H455" s="450"/>
      <c r="Q455" s="443"/>
    </row>
    <row r="456">
      <c r="A456" s="350"/>
      <c r="B456" s="350"/>
      <c r="C456" s="449"/>
      <c r="D456" s="449"/>
      <c r="H456" s="450"/>
      <c r="Q456" s="443"/>
    </row>
    <row r="457">
      <c r="A457" s="350"/>
      <c r="B457" s="350"/>
      <c r="C457" s="449"/>
      <c r="D457" s="449"/>
      <c r="H457" s="450"/>
      <c r="Q457" s="443"/>
    </row>
    <row r="458">
      <c r="A458" s="350"/>
      <c r="B458" s="350"/>
      <c r="C458" s="449"/>
      <c r="D458" s="449"/>
      <c r="H458" s="450"/>
      <c r="Q458" s="443"/>
    </row>
    <row r="459">
      <c r="A459" s="350"/>
      <c r="B459" s="350"/>
      <c r="C459" s="449"/>
      <c r="D459" s="449"/>
      <c r="H459" s="450"/>
      <c r="Q459" s="443"/>
    </row>
    <row r="460">
      <c r="A460" s="350"/>
      <c r="B460" s="350"/>
      <c r="C460" s="449"/>
      <c r="D460" s="449"/>
      <c r="H460" s="450"/>
      <c r="Q460" s="443"/>
    </row>
    <row r="461">
      <c r="A461" s="350"/>
      <c r="B461" s="350"/>
      <c r="C461" s="449"/>
      <c r="D461" s="449"/>
      <c r="H461" s="450"/>
      <c r="Q461" s="443"/>
    </row>
    <row r="462">
      <c r="A462" s="350"/>
      <c r="B462" s="350"/>
      <c r="C462" s="449"/>
      <c r="D462" s="449"/>
      <c r="H462" s="450"/>
      <c r="Q462" s="443"/>
    </row>
    <row r="463">
      <c r="A463" s="350"/>
      <c r="B463" s="350"/>
      <c r="C463" s="449"/>
      <c r="D463" s="449"/>
      <c r="H463" s="450"/>
      <c r="Q463" s="443"/>
    </row>
    <row r="464">
      <c r="A464" s="350"/>
      <c r="B464" s="350"/>
      <c r="C464" s="449"/>
      <c r="D464" s="449"/>
      <c r="H464" s="450"/>
      <c r="Q464" s="443"/>
    </row>
    <row r="465">
      <c r="A465" s="350"/>
      <c r="B465" s="350"/>
      <c r="C465" s="449"/>
      <c r="D465" s="449"/>
      <c r="H465" s="450"/>
      <c r="Q465" s="443"/>
    </row>
    <row r="466">
      <c r="A466" s="350"/>
      <c r="B466" s="350"/>
      <c r="C466" s="449"/>
      <c r="D466" s="449"/>
      <c r="H466" s="450"/>
      <c r="Q466" s="443"/>
    </row>
    <row r="467">
      <c r="A467" s="350"/>
      <c r="B467" s="350"/>
      <c r="C467" s="449"/>
      <c r="D467" s="449"/>
      <c r="H467" s="450"/>
      <c r="Q467" s="443"/>
    </row>
    <row r="468">
      <c r="A468" s="350"/>
      <c r="B468" s="350"/>
      <c r="C468" s="449"/>
      <c r="D468" s="449"/>
      <c r="H468" s="450"/>
      <c r="Q468" s="443"/>
    </row>
    <row r="469">
      <c r="A469" s="350"/>
      <c r="B469" s="350"/>
      <c r="C469" s="449"/>
      <c r="D469" s="449"/>
      <c r="H469" s="450"/>
      <c r="Q469" s="443"/>
    </row>
    <row r="470">
      <c r="A470" s="350"/>
      <c r="B470" s="350"/>
      <c r="C470" s="449"/>
      <c r="D470" s="449"/>
      <c r="H470" s="450"/>
      <c r="Q470" s="443"/>
    </row>
    <row r="471">
      <c r="A471" s="350"/>
      <c r="B471" s="350"/>
      <c r="C471" s="449"/>
      <c r="D471" s="449"/>
      <c r="H471" s="450"/>
      <c r="Q471" s="443"/>
    </row>
    <row r="472">
      <c r="A472" s="350"/>
      <c r="B472" s="350"/>
      <c r="C472" s="449"/>
      <c r="D472" s="449"/>
      <c r="H472" s="450"/>
      <c r="Q472" s="443"/>
    </row>
    <row r="473">
      <c r="A473" s="350"/>
      <c r="B473" s="350"/>
      <c r="C473" s="449"/>
      <c r="D473" s="449"/>
      <c r="H473" s="450"/>
      <c r="Q473" s="443"/>
    </row>
    <row r="474">
      <c r="A474" s="350"/>
      <c r="B474" s="350"/>
      <c r="C474" s="449"/>
      <c r="D474" s="449"/>
      <c r="H474" s="450"/>
      <c r="Q474" s="443"/>
    </row>
    <row r="475">
      <c r="A475" s="350"/>
      <c r="B475" s="350"/>
      <c r="C475" s="449"/>
      <c r="D475" s="449"/>
      <c r="H475" s="450"/>
      <c r="Q475" s="443"/>
    </row>
    <row r="476">
      <c r="A476" s="350"/>
      <c r="B476" s="350"/>
      <c r="C476" s="449"/>
      <c r="D476" s="449"/>
      <c r="H476" s="450"/>
      <c r="Q476" s="443"/>
    </row>
    <row r="477">
      <c r="A477" s="350"/>
      <c r="B477" s="350"/>
      <c r="C477" s="449"/>
      <c r="D477" s="449"/>
      <c r="H477" s="450"/>
      <c r="Q477" s="443"/>
    </row>
    <row r="478">
      <c r="A478" s="350"/>
      <c r="B478" s="350"/>
      <c r="C478" s="449"/>
      <c r="D478" s="449"/>
      <c r="H478" s="450"/>
      <c r="Q478" s="443"/>
    </row>
    <row r="479">
      <c r="A479" s="350"/>
      <c r="B479" s="350"/>
      <c r="C479" s="449"/>
      <c r="D479" s="449"/>
      <c r="H479" s="450"/>
      <c r="Q479" s="443"/>
    </row>
    <row r="480">
      <c r="A480" s="350"/>
      <c r="B480" s="350"/>
      <c r="C480" s="449"/>
      <c r="D480" s="449"/>
      <c r="H480" s="450"/>
      <c r="Q480" s="443"/>
    </row>
    <row r="481">
      <c r="A481" s="350"/>
      <c r="B481" s="350"/>
      <c r="C481" s="449"/>
      <c r="D481" s="449"/>
      <c r="H481" s="450"/>
      <c r="Q481" s="443"/>
    </row>
    <row r="482">
      <c r="A482" s="350"/>
      <c r="B482" s="350"/>
      <c r="C482" s="449"/>
      <c r="D482" s="449"/>
      <c r="H482" s="450"/>
      <c r="Q482" s="443"/>
    </row>
    <row r="483">
      <c r="A483" s="350"/>
      <c r="B483" s="350"/>
      <c r="C483" s="449"/>
      <c r="D483" s="449"/>
      <c r="H483" s="450"/>
      <c r="Q483" s="443"/>
    </row>
    <row r="484">
      <c r="A484" s="350"/>
      <c r="B484" s="350"/>
      <c r="C484" s="449"/>
      <c r="D484" s="449"/>
      <c r="H484" s="450"/>
      <c r="Q484" s="443"/>
    </row>
    <row r="485">
      <c r="A485" s="350"/>
      <c r="B485" s="350"/>
      <c r="C485" s="449"/>
      <c r="D485" s="449"/>
      <c r="H485" s="450"/>
      <c r="Q485" s="443"/>
    </row>
    <row r="486">
      <c r="A486" s="350"/>
      <c r="B486" s="350"/>
      <c r="C486" s="449"/>
      <c r="D486" s="449"/>
      <c r="H486" s="450"/>
      <c r="Q486" s="443"/>
    </row>
    <row r="487">
      <c r="A487" s="350"/>
      <c r="B487" s="350"/>
      <c r="C487" s="449"/>
      <c r="D487" s="449"/>
      <c r="H487" s="450"/>
      <c r="Q487" s="443"/>
    </row>
    <row r="488">
      <c r="A488" s="350"/>
      <c r="B488" s="350"/>
      <c r="C488" s="449"/>
      <c r="D488" s="449"/>
      <c r="H488" s="450"/>
      <c r="Q488" s="443"/>
    </row>
    <row r="489">
      <c r="A489" s="350"/>
      <c r="B489" s="350"/>
      <c r="C489" s="449"/>
      <c r="D489" s="449"/>
      <c r="H489" s="450"/>
      <c r="Q489" s="443"/>
    </row>
    <row r="490">
      <c r="A490" s="350"/>
      <c r="B490" s="350"/>
      <c r="C490" s="449"/>
      <c r="D490" s="449"/>
      <c r="H490" s="450"/>
      <c r="Q490" s="443"/>
    </row>
    <row r="491">
      <c r="A491" s="350"/>
      <c r="B491" s="350"/>
      <c r="C491" s="449"/>
      <c r="D491" s="449"/>
      <c r="H491" s="450"/>
      <c r="Q491" s="443"/>
    </row>
    <row r="492">
      <c r="A492" s="350"/>
      <c r="B492" s="350"/>
      <c r="C492" s="449"/>
      <c r="D492" s="449"/>
      <c r="H492" s="450"/>
      <c r="Q492" s="443"/>
    </row>
    <row r="493">
      <c r="A493" s="350"/>
      <c r="B493" s="350"/>
      <c r="C493" s="449"/>
      <c r="D493" s="449"/>
      <c r="H493" s="450"/>
      <c r="Q493" s="443"/>
    </row>
    <row r="494">
      <c r="A494" s="350"/>
      <c r="B494" s="350"/>
      <c r="C494" s="449"/>
      <c r="D494" s="449"/>
      <c r="H494" s="450"/>
      <c r="Q494" s="443"/>
    </row>
    <row r="495">
      <c r="A495" s="350"/>
      <c r="B495" s="350"/>
      <c r="C495" s="449"/>
      <c r="D495" s="449"/>
      <c r="H495" s="450"/>
      <c r="Q495" s="443"/>
    </row>
    <row r="496">
      <c r="A496" s="350"/>
      <c r="B496" s="350"/>
      <c r="C496" s="449"/>
      <c r="D496" s="449"/>
      <c r="H496" s="450"/>
      <c r="Q496" s="443"/>
    </row>
    <row r="497">
      <c r="A497" s="350"/>
      <c r="B497" s="350"/>
      <c r="C497" s="449"/>
      <c r="D497" s="449"/>
      <c r="H497" s="450"/>
      <c r="Q497" s="443"/>
    </row>
    <row r="498">
      <c r="A498" s="350"/>
      <c r="B498" s="350"/>
      <c r="C498" s="449"/>
      <c r="D498" s="449"/>
      <c r="H498" s="450"/>
      <c r="Q498" s="443"/>
    </row>
    <row r="499">
      <c r="A499" s="350"/>
      <c r="B499" s="350"/>
      <c r="C499" s="449"/>
      <c r="D499" s="449"/>
      <c r="H499" s="450"/>
      <c r="Q499" s="443"/>
    </row>
    <row r="500">
      <c r="A500" s="350"/>
      <c r="B500" s="350"/>
      <c r="C500" s="449"/>
      <c r="D500" s="449"/>
      <c r="H500" s="450"/>
      <c r="Q500" s="443"/>
    </row>
    <row r="501">
      <c r="A501" s="350"/>
      <c r="B501" s="350"/>
      <c r="C501" s="449"/>
      <c r="D501" s="449"/>
      <c r="H501" s="450"/>
      <c r="Q501" s="443"/>
    </row>
    <row r="502">
      <c r="A502" s="350"/>
      <c r="B502" s="350"/>
      <c r="C502" s="449"/>
      <c r="D502" s="449"/>
      <c r="H502" s="450"/>
      <c r="Q502" s="443"/>
    </row>
    <row r="503">
      <c r="A503" s="350"/>
      <c r="B503" s="350"/>
      <c r="C503" s="449"/>
      <c r="D503" s="449"/>
      <c r="H503" s="450"/>
      <c r="Q503" s="443"/>
    </row>
    <row r="504">
      <c r="A504" s="350"/>
      <c r="B504" s="350"/>
      <c r="C504" s="449"/>
      <c r="D504" s="449"/>
      <c r="H504" s="450"/>
      <c r="Q504" s="443"/>
    </row>
    <row r="505">
      <c r="A505" s="350"/>
      <c r="B505" s="350"/>
      <c r="C505" s="449"/>
      <c r="D505" s="449"/>
      <c r="H505" s="450"/>
      <c r="Q505" s="443"/>
    </row>
    <row r="506">
      <c r="A506" s="350"/>
      <c r="B506" s="350"/>
      <c r="C506" s="449"/>
      <c r="D506" s="449"/>
      <c r="H506" s="450"/>
      <c r="Q506" s="443"/>
    </row>
    <row r="507">
      <c r="A507" s="350"/>
      <c r="B507" s="350"/>
      <c r="C507" s="449"/>
      <c r="D507" s="449"/>
      <c r="H507" s="450"/>
      <c r="Q507" s="443"/>
    </row>
    <row r="508">
      <c r="A508" s="350"/>
      <c r="B508" s="350"/>
      <c r="C508" s="449"/>
      <c r="D508" s="449"/>
      <c r="H508" s="450"/>
      <c r="Q508" s="443"/>
    </row>
    <row r="509">
      <c r="A509" s="350"/>
      <c r="B509" s="350"/>
      <c r="C509" s="449"/>
      <c r="D509" s="449"/>
      <c r="H509" s="450"/>
      <c r="Q509" s="443"/>
    </row>
    <row r="510">
      <c r="A510" s="350"/>
      <c r="B510" s="350"/>
      <c r="C510" s="449"/>
      <c r="D510" s="449"/>
      <c r="H510" s="450"/>
      <c r="Q510" s="443"/>
    </row>
    <row r="511">
      <c r="A511" s="350"/>
      <c r="B511" s="350"/>
      <c r="C511" s="449"/>
      <c r="D511" s="449"/>
      <c r="H511" s="450"/>
      <c r="Q511" s="443"/>
    </row>
    <row r="512">
      <c r="A512" s="350"/>
      <c r="B512" s="350"/>
      <c r="C512" s="449"/>
      <c r="D512" s="449"/>
      <c r="H512" s="450"/>
      <c r="Q512" s="443"/>
    </row>
    <row r="513">
      <c r="A513" s="350"/>
      <c r="B513" s="350"/>
      <c r="C513" s="449"/>
      <c r="D513" s="449"/>
      <c r="H513" s="450"/>
      <c r="Q513" s="443"/>
    </row>
    <row r="514">
      <c r="A514" s="350"/>
      <c r="B514" s="350"/>
      <c r="C514" s="449"/>
      <c r="D514" s="449"/>
      <c r="H514" s="450"/>
      <c r="Q514" s="443"/>
    </row>
    <row r="515">
      <c r="A515" s="350"/>
      <c r="B515" s="350"/>
      <c r="C515" s="449"/>
      <c r="D515" s="449"/>
      <c r="H515" s="450"/>
      <c r="Q515" s="443"/>
    </row>
    <row r="516">
      <c r="A516" s="350"/>
      <c r="B516" s="350"/>
      <c r="C516" s="449"/>
      <c r="D516" s="449"/>
      <c r="H516" s="450"/>
      <c r="Q516" s="443"/>
    </row>
    <row r="517">
      <c r="A517" s="350"/>
      <c r="B517" s="350"/>
      <c r="C517" s="449"/>
      <c r="D517" s="449"/>
      <c r="H517" s="450"/>
      <c r="Q517" s="443"/>
    </row>
    <row r="518">
      <c r="A518" s="350"/>
      <c r="B518" s="350"/>
      <c r="C518" s="449"/>
      <c r="D518" s="449"/>
      <c r="H518" s="450"/>
      <c r="Q518" s="443"/>
    </row>
    <row r="519">
      <c r="A519" s="350"/>
      <c r="B519" s="350"/>
      <c r="C519" s="449"/>
      <c r="D519" s="449"/>
      <c r="H519" s="450"/>
      <c r="Q519" s="443"/>
    </row>
    <row r="520">
      <c r="A520" s="350"/>
      <c r="B520" s="350"/>
      <c r="C520" s="449"/>
      <c r="D520" s="449"/>
      <c r="H520" s="450"/>
      <c r="Q520" s="443"/>
    </row>
    <row r="521">
      <c r="A521" s="350"/>
      <c r="B521" s="350"/>
      <c r="C521" s="449"/>
      <c r="D521" s="449"/>
      <c r="H521" s="450"/>
      <c r="Q521" s="443"/>
    </row>
    <row r="522">
      <c r="A522" s="350"/>
      <c r="B522" s="350"/>
      <c r="C522" s="449"/>
      <c r="D522" s="449"/>
      <c r="H522" s="450"/>
      <c r="Q522" s="443"/>
    </row>
    <row r="523">
      <c r="A523" s="350"/>
      <c r="B523" s="350"/>
      <c r="C523" s="449"/>
      <c r="D523" s="449"/>
      <c r="H523" s="450"/>
      <c r="Q523" s="443"/>
    </row>
    <row r="524">
      <c r="A524" s="350"/>
      <c r="B524" s="350"/>
      <c r="C524" s="449"/>
      <c r="D524" s="449"/>
      <c r="H524" s="450"/>
      <c r="Q524" s="443"/>
    </row>
    <row r="525">
      <c r="A525" s="350"/>
      <c r="B525" s="350"/>
      <c r="C525" s="449"/>
      <c r="D525" s="449"/>
      <c r="H525" s="450"/>
      <c r="Q525" s="443"/>
    </row>
    <row r="526">
      <c r="A526" s="350"/>
      <c r="B526" s="350"/>
      <c r="C526" s="449"/>
      <c r="D526" s="449"/>
      <c r="H526" s="450"/>
      <c r="Q526" s="443"/>
    </row>
    <row r="527">
      <c r="A527" s="350"/>
      <c r="B527" s="350"/>
      <c r="C527" s="449"/>
      <c r="D527" s="449"/>
      <c r="H527" s="450"/>
      <c r="Q527" s="443"/>
    </row>
    <row r="528">
      <c r="A528" s="350"/>
      <c r="B528" s="350"/>
      <c r="C528" s="449"/>
      <c r="D528" s="449"/>
      <c r="H528" s="450"/>
      <c r="Q528" s="443"/>
    </row>
    <row r="529">
      <c r="A529" s="350"/>
      <c r="B529" s="350"/>
      <c r="C529" s="449"/>
      <c r="D529" s="449"/>
      <c r="H529" s="450"/>
      <c r="Q529" s="443"/>
    </row>
    <row r="530">
      <c r="A530" s="350"/>
      <c r="B530" s="350"/>
      <c r="C530" s="449"/>
      <c r="D530" s="449"/>
      <c r="H530" s="450"/>
      <c r="Q530" s="443"/>
    </row>
    <row r="531">
      <c r="A531" s="350"/>
      <c r="B531" s="350"/>
      <c r="C531" s="449"/>
      <c r="D531" s="449"/>
      <c r="H531" s="450"/>
      <c r="Q531" s="443"/>
    </row>
    <row r="532">
      <c r="A532" s="350"/>
      <c r="B532" s="350"/>
      <c r="C532" s="449"/>
      <c r="D532" s="449"/>
      <c r="H532" s="450"/>
      <c r="Q532" s="443"/>
    </row>
    <row r="533">
      <c r="A533" s="350"/>
      <c r="B533" s="350"/>
      <c r="C533" s="449"/>
      <c r="D533" s="449"/>
      <c r="H533" s="450"/>
      <c r="Q533" s="443"/>
    </row>
    <row r="534">
      <c r="A534" s="350"/>
      <c r="B534" s="350"/>
      <c r="C534" s="449"/>
      <c r="D534" s="449"/>
      <c r="H534" s="450"/>
      <c r="Q534" s="443"/>
    </row>
    <row r="535">
      <c r="A535" s="350"/>
      <c r="B535" s="350"/>
      <c r="C535" s="449"/>
      <c r="D535" s="449"/>
      <c r="H535" s="450"/>
      <c r="Q535" s="443"/>
    </row>
    <row r="536">
      <c r="A536" s="350"/>
      <c r="B536" s="350"/>
      <c r="C536" s="449"/>
      <c r="D536" s="449"/>
      <c r="H536" s="450"/>
      <c r="Q536" s="443"/>
    </row>
    <row r="537">
      <c r="A537" s="350"/>
      <c r="B537" s="350"/>
      <c r="C537" s="449"/>
      <c r="D537" s="449"/>
      <c r="H537" s="450"/>
      <c r="Q537" s="443"/>
    </row>
    <row r="538">
      <c r="A538" s="350"/>
      <c r="B538" s="350"/>
      <c r="C538" s="449"/>
      <c r="D538" s="449"/>
      <c r="H538" s="450"/>
      <c r="Q538" s="443"/>
    </row>
    <row r="539">
      <c r="A539" s="350"/>
      <c r="B539" s="350"/>
      <c r="C539" s="449"/>
      <c r="D539" s="449"/>
      <c r="H539" s="450"/>
      <c r="Q539" s="443"/>
    </row>
    <row r="540">
      <c r="A540" s="350"/>
      <c r="B540" s="350"/>
      <c r="C540" s="449"/>
      <c r="D540" s="449"/>
      <c r="H540" s="450"/>
      <c r="Q540" s="443"/>
    </row>
    <row r="541">
      <c r="A541" s="350"/>
      <c r="B541" s="350"/>
      <c r="C541" s="449"/>
      <c r="D541" s="449"/>
      <c r="H541" s="450"/>
      <c r="Q541" s="443"/>
    </row>
    <row r="542">
      <c r="A542" s="350"/>
      <c r="B542" s="350"/>
      <c r="C542" s="449"/>
      <c r="D542" s="449"/>
      <c r="H542" s="450"/>
      <c r="Q542" s="443"/>
    </row>
    <row r="543">
      <c r="A543" s="350"/>
      <c r="B543" s="350"/>
      <c r="C543" s="449"/>
      <c r="D543" s="449"/>
      <c r="H543" s="450"/>
      <c r="Q543" s="443"/>
    </row>
    <row r="544">
      <c r="A544" s="350"/>
      <c r="B544" s="350"/>
      <c r="C544" s="449"/>
      <c r="D544" s="449"/>
      <c r="H544" s="450"/>
      <c r="Q544" s="443"/>
    </row>
    <row r="545">
      <c r="A545" s="350"/>
      <c r="B545" s="350"/>
      <c r="C545" s="449"/>
      <c r="D545" s="449"/>
      <c r="H545" s="450"/>
      <c r="Q545" s="443"/>
    </row>
    <row r="546">
      <c r="A546" s="350"/>
      <c r="B546" s="350"/>
      <c r="C546" s="449"/>
      <c r="D546" s="449"/>
      <c r="H546" s="450"/>
      <c r="Q546" s="443"/>
    </row>
    <row r="547">
      <c r="A547" s="350"/>
      <c r="B547" s="350"/>
      <c r="C547" s="449"/>
      <c r="D547" s="449"/>
      <c r="H547" s="450"/>
      <c r="Q547" s="443"/>
    </row>
    <row r="548">
      <c r="A548" s="350"/>
      <c r="B548" s="350"/>
      <c r="C548" s="449"/>
      <c r="D548" s="449"/>
      <c r="H548" s="450"/>
      <c r="Q548" s="443"/>
    </row>
    <row r="549">
      <c r="A549" s="350"/>
      <c r="B549" s="350"/>
      <c r="C549" s="449"/>
      <c r="D549" s="449"/>
      <c r="H549" s="450"/>
      <c r="Q549" s="443"/>
    </row>
    <row r="550">
      <c r="A550" s="350"/>
      <c r="B550" s="350"/>
      <c r="C550" s="449"/>
      <c r="D550" s="449"/>
      <c r="H550" s="450"/>
      <c r="Q550" s="443"/>
    </row>
    <row r="551">
      <c r="A551" s="350"/>
      <c r="B551" s="350"/>
      <c r="C551" s="449"/>
      <c r="D551" s="449"/>
      <c r="H551" s="450"/>
      <c r="Q551" s="443"/>
    </row>
    <row r="552">
      <c r="A552" s="350"/>
      <c r="B552" s="350"/>
      <c r="C552" s="449"/>
      <c r="D552" s="449"/>
      <c r="H552" s="450"/>
      <c r="Q552" s="443"/>
    </row>
    <row r="553">
      <c r="A553" s="350"/>
      <c r="B553" s="350"/>
      <c r="C553" s="449"/>
      <c r="D553" s="449"/>
      <c r="H553" s="450"/>
      <c r="Q553" s="443"/>
    </row>
    <row r="554">
      <c r="A554" s="350"/>
      <c r="B554" s="350"/>
      <c r="C554" s="449"/>
      <c r="D554" s="449"/>
      <c r="H554" s="450"/>
      <c r="Q554" s="443"/>
    </row>
    <row r="555">
      <c r="A555" s="350"/>
      <c r="B555" s="350"/>
      <c r="C555" s="449"/>
      <c r="D555" s="449"/>
      <c r="H555" s="450"/>
      <c r="Q555" s="443"/>
    </row>
    <row r="556">
      <c r="A556" s="350"/>
      <c r="B556" s="350"/>
      <c r="C556" s="449"/>
      <c r="D556" s="449"/>
      <c r="H556" s="450"/>
      <c r="Q556" s="443"/>
    </row>
    <row r="557">
      <c r="A557" s="350"/>
      <c r="B557" s="350"/>
      <c r="C557" s="449"/>
      <c r="D557" s="449"/>
      <c r="H557" s="450"/>
      <c r="Q557" s="443"/>
    </row>
    <row r="558">
      <c r="A558" s="350"/>
      <c r="B558" s="350"/>
      <c r="C558" s="449"/>
      <c r="D558" s="449"/>
      <c r="H558" s="450"/>
      <c r="Q558" s="443"/>
    </row>
    <row r="559">
      <c r="A559" s="350"/>
      <c r="B559" s="350"/>
      <c r="C559" s="449"/>
      <c r="D559" s="449"/>
      <c r="H559" s="450"/>
      <c r="Q559" s="443"/>
    </row>
    <row r="560">
      <c r="A560" s="350"/>
      <c r="B560" s="350"/>
      <c r="C560" s="449"/>
      <c r="D560" s="449"/>
      <c r="H560" s="450"/>
      <c r="Q560" s="443"/>
    </row>
    <row r="561">
      <c r="A561" s="350"/>
      <c r="B561" s="350"/>
      <c r="C561" s="449"/>
      <c r="D561" s="449"/>
      <c r="H561" s="450"/>
      <c r="Q561" s="443"/>
    </row>
    <row r="562">
      <c r="A562" s="350"/>
      <c r="B562" s="350"/>
      <c r="C562" s="449"/>
      <c r="D562" s="449"/>
      <c r="H562" s="450"/>
      <c r="Q562" s="443"/>
    </row>
    <row r="563">
      <c r="A563" s="350"/>
      <c r="B563" s="350"/>
      <c r="C563" s="449"/>
      <c r="D563" s="449"/>
      <c r="H563" s="450"/>
      <c r="Q563" s="443"/>
    </row>
    <row r="564">
      <c r="A564" s="350"/>
      <c r="B564" s="350"/>
      <c r="C564" s="449"/>
      <c r="D564" s="449"/>
      <c r="H564" s="450"/>
      <c r="Q564" s="443"/>
    </row>
    <row r="565">
      <c r="A565" s="350"/>
      <c r="B565" s="350"/>
      <c r="C565" s="449"/>
      <c r="D565" s="449"/>
      <c r="H565" s="450"/>
      <c r="Q565" s="443"/>
    </row>
    <row r="566">
      <c r="A566" s="350"/>
      <c r="B566" s="350"/>
      <c r="C566" s="449"/>
      <c r="D566" s="449"/>
      <c r="H566" s="450"/>
      <c r="Q566" s="443"/>
    </row>
    <row r="567">
      <c r="A567" s="350"/>
      <c r="B567" s="350"/>
      <c r="C567" s="449"/>
      <c r="D567" s="449"/>
      <c r="H567" s="450"/>
      <c r="Q567" s="443"/>
    </row>
    <row r="568">
      <c r="A568" s="350"/>
      <c r="B568" s="350"/>
      <c r="C568" s="449"/>
      <c r="D568" s="449"/>
      <c r="H568" s="450"/>
      <c r="Q568" s="443"/>
    </row>
    <row r="569">
      <c r="A569" s="350"/>
      <c r="B569" s="350"/>
      <c r="C569" s="449"/>
      <c r="D569" s="449"/>
      <c r="H569" s="450"/>
      <c r="Q569" s="443"/>
    </row>
    <row r="570">
      <c r="A570" s="350"/>
      <c r="B570" s="350"/>
      <c r="C570" s="449"/>
      <c r="D570" s="449"/>
      <c r="H570" s="450"/>
      <c r="Q570" s="443"/>
    </row>
    <row r="571">
      <c r="A571" s="350"/>
      <c r="B571" s="350"/>
      <c r="C571" s="449"/>
      <c r="D571" s="449"/>
      <c r="H571" s="450"/>
      <c r="Q571" s="443"/>
    </row>
    <row r="572">
      <c r="A572" s="350"/>
      <c r="B572" s="350"/>
      <c r="C572" s="449"/>
      <c r="D572" s="449"/>
      <c r="H572" s="450"/>
      <c r="Q572" s="443"/>
    </row>
    <row r="573">
      <c r="A573" s="350"/>
      <c r="B573" s="350"/>
      <c r="C573" s="449"/>
      <c r="D573" s="449"/>
      <c r="H573" s="450"/>
      <c r="Q573" s="443"/>
    </row>
    <row r="574">
      <c r="A574" s="350"/>
      <c r="B574" s="350"/>
      <c r="C574" s="449"/>
      <c r="D574" s="449"/>
      <c r="H574" s="450"/>
      <c r="Q574" s="443"/>
    </row>
    <row r="575">
      <c r="A575" s="350"/>
      <c r="B575" s="350"/>
      <c r="C575" s="449"/>
      <c r="D575" s="449"/>
      <c r="H575" s="450"/>
      <c r="Q575" s="443"/>
    </row>
    <row r="576">
      <c r="A576" s="350"/>
      <c r="B576" s="350"/>
      <c r="C576" s="449"/>
      <c r="D576" s="449"/>
      <c r="H576" s="450"/>
      <c r="Q576" s="443"/>
    </row>
    <row r="577">
      <c r="A577" s="350"/>
      <c r="B577" s="350"/>
      <c r="C577" s="449"/>
      <c r="D577" s="449"/>
      <c r="H577" s="450"/>
      <c r="Q577" s="443"/>
    </row>
    <row r="578">
      <c r="A578" s="350"/>
      <c r="B578" s="350"/>
      <c r="C578" s="449"/>
      <c r="D578" s="449"/>
      <c r="H578" s="450"/>
      <c r="Q578" s="443"/>
    </row>
    <row r="579">
      <c r="A579" s="350"/>
      <c r="B579" s="350"/>
      <c r="C579" s="449"/>
      <c r="D579" s="449"/>
      <c r="H579" s="450"/>
      <c r="Q579" s="443"/>
    </row>
    <row r="580">
      <c r="A580" s="350"/>
      <c r="B580" s="350"/>
      <c r="C580" s="449"/>
      <c r="D580" s="449"/>
      <c r="H580" s="450"/>
      <c r="Q580" s="443"/>
    </row>
    <row r="581">
      <c r="A581" s="350"/>
      <c r="B581" s="350"/>
      <c r="C581" s="449"/>
      <c r="D581" s="449"/>
      <c r="H581" s="450"/>
      <c r="Q581" s="443"/>
    </row>
    <row r="582">
      <c r="A582" s="350"/>
      <c r="B582" s="350"/>
      <c r="C582" s="449"/>
      <c r="D582" s="449"/>
      <c r="H582" s="450"/>
      <c r="Q582" s="443"/>
    </row>
    <row r="583">
      <c r="A583" s="350"/>
      <c r="B583" s="350"/>
      <c r="C583" s="449"/>
      <c r="D583" s="449"/>
      <c r="H583" s="450"/>
      <c r="Q583" s="443"/>
    </row>
    <row r="584">
      <c r="A584" s="350"/>
      <c r="B584" s="350"/>
      <c r="C584" s="449"/>
      <c r="D584" s="449"/>
      <c r="H584" s="450"/>
      <c r="Q584" s="443"/>
    </row>
    <row r="585">
      <c r="A585" s="350"/>
      <c r="B585" s="350"/>
      <c r="C585" s="449"/>
      <c r="D585" s="449"/>
      <c r="H585" s="450"/>
      <c r="Q585" s="443"/>
    </row>
    <row r="586">
      <c r="A586" s="350"/>
      <c r="B586" s="350"/>
      <c r="C586" s="449"/>
      <c r="D586" s="449"/>
      <c r="H586" s="450"/>
      <c r="Q586" s="443"/>
    </row>
    <row r="587">
      <c r="A587" s="350"/>
      <c r="B587" s="350"/>
      <c r="C587" s="449"/>
      <c r="D587" s="449"/>
      <c r="H587" s="450"/>
      <c r="Q587" s="443"/>
    </row>
    <row r="588">
      <c r="A588" s="350"/>
      <c r="B588" s="350"/>
      <c r="C588" s="449"/>
      <c r="D588" s="449"/>
      <c r="H588" s="450"/>
      <c r="Q588" s="443"/>
    </row>
    <row r="589">
      <c r="A589" s="350"/>
      <c r="B589" s="350"/>
      <c r="C589" s="449"/>
      <c r="D589" s="449"/>
      <c r="H589" s="450"/>
      <c r="Q589" s="443"/>
    </row>
    <row r="590">
      <c r="A590" s="350"/>
      <c r="B590" s="350"/>
      <c r="C590" s="449"/>
      <c r="D590" s="449"/>
      <c r="H590" s="450"/>
      <c r="Q590" s="443"/>
    </row>
    <row r="591">
      <c r="A591" s="350"/>
      <c r="B591" s="350"/>
      <c r="C591" s="449"/>
      <c r="D591" s="449"/>
      <c r="H591" s="450"/>
      <c r="Q591" s="443"/>
    </row>
    <row r="592">
      <c r="A592" s="350"/>
      <c r="B592" s="350"/>
      <c r="C592" s="449"/>
      <c r="D592" s="449"/>
      <c r="H592" s="450"/>
      <c r="Q592" s="443"/>
    </row>
    <row r="593">
      <c r="A593" s="350"/>
      <c r="B593" s="350"/>
      <c r="C593" s="449"/>
      <c r="D593" s="449"/>
      <c r="H593" s="450"/>
      <c r="Q593" s="443"/>
    </row>
    <row r="594">
      <c r="A594" s="350"/>
      <c r="B594" s="350"/>
      <c r="C594" s="449"/>
      <c r="D594" s="449"/>
      <c r="H594" s="450"/>
      <c r="Q594" s="443"/>
    </row>
    <row r="595">
      <c r="A595" s="350"/>
      <c r="B595" s="350"/>
      <c r="C595" s="449"/>
      <c r="D595" s="449"/>
      <c r="H595" s="450"/>
      <c r="Q595" s="443"/>
    </row>
    <row r="596">
      <c r="A596" s="350"/>
      <c r="B596" s="350"/>
      <c r="C596" s="449"/>
      <c r="D596" s="449"/>
      <c r="H596" s="450"/>
      <c r="Q596" s="443"/>
    </row>
    <row r="597">
      <c r="A597" s="350"/>
      <c r="B597" s="350"/>
      <c r="C597" s="449"/>
      <c r="D597" s="449"/>
      <c r="H597" s="450"/>
      <c r="Q597" s="443"/>
    </row>
    <row r="598">
      <c r="A598" s="350"/>
      <c r="B598" s="350"/>
      <c r="C598" s="449"/>
      <c r="D598" s="449"/>
      <c r="H598" s="450"/>
      <c r="Q598" s="443"/>
    </row>
    <row r="599">
      <c r="A599" s="350"/>
      <c r="B599" s="350"/>
      <c r="C599" s="449"/>
      <c r="D599" s="449"/>
      <c r="H599" s="450"/>
      <c r="Q599" s="443"/>
    </row>
    <row r="600">
      <c r="A600" s="350"/>
      <c r="B600" s="350"/>
      <c r="C600" s="449"/>
      <c r="D600" s="449"/>
      <c r="H600" s="450"/>
      <c r="Q600" s="443"/>
    </row>
    <row r="601">
      <c r="A601" s="350"/>
      <c r="B601" s="350"/>
      <c r="C601" s="449"/>
      <c r="D601" s="449"/>
      <c r="H601" s="450"/>
      <c r="Q601" s="443"/>
    </row>
    <row r="602">
      <c r="A602" s="350"/>
      <c r="B602" s="350"/>
      <c r="C602" s="449"/>
      <c r="D602" s="449"/>
      <c r="H602" s="450"/>
      <c r="Q602" s="443"/>
    </row>
    <row r="603">
      <c r="A603" s="350"/>
      <c r="B603" s="350"/>
      <c r="C603" s="449"/>
      <c r="D603" s="449"/>
      <c r="H603" s="450"/>
      <c r="Q603" s="443"/>
    </row>
    <row r="604">
      <c r="A604" s="350"/>
      <c r="B604" s="350"/>
      <c r="C604" s="449"/>
      <c r="D604" s="449"/>
      <c r="H604" s="450"/>
      <c r="Q604" s="443"/>
    </row>
    <row r="605">
      <c r="A605" s="350"/>
      <c r="B605" s="350"/>
      <c r="C605" s="449"/>
      <c r="D605" s="449"/>
      <c r="H605" s="450"/>
      <c r="Q605" s="443"/>
    </row>
    <row r="606">
      <c r="A606" s="350"/>
      <c r="B606" s="350"/>
      <c r="C606" s="449"/>
      <c r="D606" s="449"/>
      <c r="H606" s="450"/>
      <c r="Q606" s="443"/>
    </row>
    <row r="607">
      <c r="A607" s="350"/>
      <c r="B607" s="350"/>
      <c r="C607" s="449"/>
      <c r="D607" s="449"/>
      <c r="H607" s="450"/>
      <c r="Q607" s="443"/>
    </row>
    <row r="608">
      <c r="A608" s="350"/>
      <c r="B608" s="350"/>
      <c r="C608" s="449"/>
      <c r="D608" s="449"/>
      <c r="H608" s="450"/>
      <c r="Q608" s="443"/>
    </row>
    <row r="609">
      <c r="A609" s="350"/>
      <c r="B609" s="350"/>
      <c r="C609" s="449"/>
      <c r="D609" s="449"/>
      <c r="H609" s="450"/>
      <c r="Q609" s="443"/>
    </row>
    <row r="610">
      <c r="A610" s="350"/>
      <c r="B610" s="350"/>
      <c r="C610" s="449"/>
      <c r="D610" s="449"/>
      <c r="H610" s="450"/>
      <c r="Q610" s="443"/>
    </row>
    <row r="611">
      <c r="A611" s="350"/>
      <c r="B611" s="350"/>
      <c r="C611" s="449"/>
      <c r="D611" s="449"/>
      <c r="H611" s="450"/>
      <c r="Q611" s="443"/>
    </row>
    <row r="612">
      <c r="A612" s="350"/>
      <c r="B612" s="350"/>
      <c r="C612" s="449"/>
      <c r="D612" s="449"/>
      <c r="H612" s="450"/>
      <c r="Q612" s="443"/>
    </row>
    <row r="613">
      <c r="A613" s="350"/>
      <c r="B613" s="350"/>
      <c r="C613" s="449"/>
      <c r="D613" s="449"/>
      <c r="H613" s="450"/>
      <c r="Q613" s="443"/>
    </row>
    <row r="614">
      <c r="A614" s="350"/>
      <c r="B614" s="350"/>
      <c r="C614" s="449"/>
      <c r="D614" s="449"/>
      <c r="H614" s="450"/>
      <c r="Q614" s="443"/>
    </row>
    <row r="615">
      <c r="A615" s="350"/>
      <c r="B615" s="350"/>
      <c r="C615" s="449"/>
      <c r="D615" s="449"/>
      <c r="H615" s="450"/>
      <c r="Q615" s="443"/>
    </row>
    <row r="616">
      <c r="A616" s="350"/>
      <c r="B616" s="350"/>
      <c r="C616" s="449"/>
      <c r="D616" s="449"/>
      <c r="H616" s="450"/>
      <c r="Q616" s="443"/>
    </row>
    <row r="617">
      <c r="A617" s="350"/>
      <c r="B617" s="350"/>
      <c r="C617" s="449"/>
      <c r="D617" s="449"/>
      <c r="H617" s="450"/>
      <c r="Q617" s="443"/>
    </row>
    <row r="618">
      <c r="A618" s="350"/>
      <c r="B618" s="350"/>
      <c r="C618" s="449"/>
      <c r="D618" s="449"/>
      <c r="H618" s="450"/>
      <c r="Q618" s="443"/>
    </row>
    <row r="619">
      <c r="A619" s="350"/>
      <c r="B619" s="350"/>
      <c r="C619" s="449"/>
      <c r="D619" s="449"/>
      <c r="H619" s="450"/>
      <c r="Q619" s="443"/>
    </row>
    <row r="620">
      <c r="A620" s="350"/>
      <c r="B620" s="350"/>
      <c r="C620" s="449"/>
      <c r="D620" s="449"/>
      <c r="H620" s="450"/>
      <c r="Q620" s="443"/>
    </row>
    <row r="621">
      <c r="A621" s="350"/>
      <c r="B621" s="350"/>
      <c r="C621" s="449"/>
      <c r="D621" s="449"/>
      <c r="H621" s="450"/>
      <c r="Q621" s="443"/>
    </row>
    <row r="622">
      <c r="A622" s="350"/>
      <c r="B622" s="350"/>
      <c r="C622" s="449"/>
      <c r="D622" s="449"/>
      <c r="H622" s="450"/>
      <c r="Q622" s="443"/>
    </row>
    <row r="623">
      <c r="A623" s="350"/>
      <c r="B623" s="350"/>
      <c r="C623" s="449"/>
      <c r="D623" s="449"/>
      <c r="H623" s="450"/>
      <c r="Q623" s="443"/>
    </row>
    <row r="624">
      <c r="A624" s="350"/>
      <c r="B624" s="350"/>
      <c r="C624" s="449"/>
      <c r="D624" s="449"/>
      <c r="H624" s="450"/>
      <c r="Q624" s="443"/>
    </row>
    <row r="625">
      <c r="A625" s="350"/>
      <c r="B625" s="350"/>
      <c r="C625" s="449"/>
      <c r="D625" s="449"/>
      <c r="H625" s="450"/>
      <c r="Q625" s="443"/>
    </row>
    <row r="626">
      <c r="A626" s="350"/>
      <c r="B626" s="350"/>
      <c r="C626" s="449"/>
      <c r="D626" s="449"/>
      <c r="H626" s="450"/>
      <c r="Q626" s="443"/>
    </row>
    <row r="627">
      <c r="A627" s="350"/>
      <c r="B627" s="350"/>
      <c r="C627" s="449"/>
      <c r="D627" s="449"/>
      <c r="H627" s="450"/>
      <c r="Q627" s="443"/>
    </row>
    <row r="628">
      <c r="A628" s="350"/>
      <c r="B628" s="350"/>
      <c r="C628" s="449"/>
      <c r="D628" s="449"/>
      <c r="H628" s="450"/>
      <c r="Q628" s="443"/>
    </row>
    <row r="629">
      <c r="A629" s="350"/>
      <c r="B629" s="350"/>
      <c r="C629" s="449"/>
      <c r="D629" s="449"/>
      <c r="H629" s="450"/>
      <c r="Q629" s="443"/>
    </row>
    <row r="630">
      <c r="A630" s="350"/>
      <c r="B630" s="350"/>
      <c r="C630" s="449"/>
      <c r="D630" s="449"/>
      <c r="H630" s="450"/>
      <c r="Q630" s="443"/>
    </row>
    <row r="631">
      <c r="A631" s="350"/>
      <c r="B631" s="350"/>
      <c r="C631" s="449"/>
      <c r="D631" s="449"/>
      <c r="H631" s="450"/>
      <c r="Q631" s="443"/>
    </row>
    <row r="632">
      <c r="A632" s="350"/>
      <c r="B632" s="350"/>
      <c r="C632" s="449"/>
      <c r="D632" s="449"/>
      <c r="H632" s="450"/>
      <c r="Q632" s="443"/>
    </row>
    <row r="633">
      <c r="A633" s="350"/>
      <c r="B633" s="350"/>
      <c r="C633" s="449"/>
      <c r="D633" s="449"/>
      <c r="H633" s="450"/>
      <c r="Q633" s="443"/>
    </row>
    <row r="634">
      <c r="A634" s="350"/>
      <c r="B634" s="350"/>
      <c r="C634" s="449"/>
      <c r="D634" s="449"/>
      <c r="H634" s="450"/>
      <c r="Q634" s="443"/>
    </row>
    <row r="635">
      <c r="A635" s="350"/>
      <c r="B635" s="350"/>
      <c r="C635" s="449"/>
      <c r="D635" s="449"/>
      <c r="H635" s="450"/>
      <c r="Q635" s="443"/>
    </row>
    <row r="636">
      <c r="A636" s="350"/>
      <c r="B636" s="350"/>
      <c r="C636" s="449"/>
      <c r="D636" s="449"/>
      <c r="H636" s="450"/>
      <c r="Q636" s="443"/>
    </row>
    <row r="637">
      <c r="A637" s="350"/>
      <c r="B637" s="350"/>
      <c r="C637" s="449"/>
      <c r="D637" s="449"/>
      <c r="H637" s="450"/>
      <c r="Q637" s="443"/>
    </row>
    <row r="638">
      <c r="A638" s="350"/>
      <c r="B638" s="350"/>
      <c r="C638" s="449"/>
      <c r="D638" s="449"/>
      <c r="H638" s="450"/>
      <c r="Q638" s="443"/>
    </row>
    <row r="639">
      <c r="A639" s="350"/>
      <c r="B639" s="350"/>
      <c r="C639" s="449"/>
      <c r="D639" s="449"/>
      <c r="H639" s="450"/>
      <c r="Q639" s="443"/>
    </row>
    <row r="640">
      <c r="A640" s="350"/>
      <c r="B640" s="350"/>
      <c r="C640" s="449"/>
      <c r="D640" s="449"/>
      <c r="H640" s="450"/>
      <c r="Q640" s="443"/>
    </row>
    <row r="641">
      <c r="A641" s="350"/>
      <c r="B641" s="350"/>
      <c r="C641" s="449"/>
      <c r="D641" s="449"/>
      <c r="H641" s="450"/>
      <c r="Q641" s="443"/>
    </row>
    <row r="642">
      <c r="A642" s="350"/>
      <c r="B642" s="350"/>
      <c r="C642" s="449"/>
      <c r="D642" s="449"/>
      <c r="H642" s="450"/>
      <c r="Q642" s="443"/>
    </row>
    <row r="643">
      <c r="A643" s="350"/>
      <c r="B643" s="350"/>
      <c r="C643" s="449"/>
      <c r="D643" s="449"/>
      <c r="H643" s="450"/>
      <c r="Q643" s="443"/>
    </row>
    <row r="644">
      <c r="A644" s="350"/>
      <c r="B644" s="350"/>
      <c r="C644" s="449"/>
      <c r="D644" s="449"/>
      <c r="H644" s="450"/>
      <c r="Q644" s="443"/>
    </row>
    <row r="645">
      <c r="A645" s="350"/>
      <c r="B645" s="350"/>
      <c r="C645" s="449"/>
      <c r="D645" s="449"/>
      <c r="H645" s="450"/>
      <c r="Q645" s="443"/>
    </row>
    <row r="646">
      <c r="A646" s="350"/>
      <c r="B646" s="350"/>
      <c r="C646" s="449"/>
      <c r="D646" s="449"/>
      <c r="H646" s="450"/>
      <c r="Q646" s="443"/>
    </row>
    <row r="647">
      <c r="A647" s="350"/>
      <c r="B647" s="350"/>
      <c r="C647" s="449"/>
      <c r="D647" s="449"/>
      <c r="H647" s="450"/>
      <c r="Q647" s="443"/>
    </row>
    <row r="648">
      <c r="A648" s="350"/>
      <c r="B648" s="350"/>
      <c r="C648" s="449"/>
      <c r="D648" s="449"/>
      <c r="H648" s="450"/>
      <c r="Q648" s="443"/>
    </row>
    <row r="649">
      <c r="A649" s="350"/>
      <c r="B649" s="350"/>
      <c r="C649" s="449"/>
      <c r="D649" s="449"/>
      <c r="H649" s="450"/>
      <c r="Q649" s="443"/>
    </row>
    <row r="650">
      <c r="A650" s="350"/>
      <c r="B650" s="350"/>
      <c r="C650" s="449"/>
      <c r="D650" s="449"/>
      <c r="H650" s="450"/>
      <c r="Q650" s="443"/>
    </row>
    <row r="651">
      <c r="A651" s="350"/>
      <c r="B651" s="350"/>
      <c r="C651" s="449"/>
      <c r="D651" s="449"/>
      <c r="H651" s="450"/>
      <c r="Q651" s="443"/>
    </row>
    <row r="652">
      <c r="A652" s="350"/>
      <c r="B652" s="350"/>
      <c r="C652" s="449"/>
      <c r="D652" s="449"/>
      <c r="H652" s="450"/>
      <c r="Q652" s="443"/>
    </row>
    <row r="653">
      <c r="A653" s="350"/>
      <c r="B653" s="350"/>
      <c r="C653" s="449"/>
      <c r="D653" s="449"/>
      <c r="H653" s="450"/>
      <c r="Q653" s="443"/>
    </row>
    <row r="654">
      <c r="A654" s="350"/>
      <c r="B654" s="350"/>
      <c r="C654" s="449"/>
      <c r="D654" s="449"/>
      <c r="H654" s="450"/>
      <c r="Q654" s="443"/>
    </row>
    <row r="655">
      <c r="A655" s="350"/>
      <c r="B655" s="350"/>
      <c r="C655" s="449"/>
      <c r="D655" s="449"/>
      <c r="H655" s="450"/>
      <c r="Q655" s="443"/>
    </row>
    <row r="656">
      <c r="A656" s="350"/>
      <c r="B656" s="350"/>
      <c r="C656" s="449"/>
      <c r="D656" s="449"/>
      <c r="H656" s="450"/>
      <c r="Q656" s="443"/>
    </row>
    <row r="657">
      <c r="A657" s="350"/>
      <c r="B657" s="350"/>
      <c r="C657" s="449"/>
      <c r="D657" s="449"/>
      <c r="H657" s="450"/>
      <c r="Q657" s="443"/>
    </row>
    <row r="658">
      <c r="A658" s="350"/>
      <c r="B658" s="350"/>
      <c r="C658" s="449"/>
      <c r="D658" s="449"/>
      <c r="H658" s="450"/>
      <c r="Q658" s="443"/>
    </row>
    <row r="659">
      <c r="A659" s="350"/>
      <c r="B659" s="350"/>
      <c r="C659" s="449"/>
      <c r="D659" s="449"/>
      <c r="H659" s="450"/>
      <c r="Q659" s="443"/>
    </row>
    <row r="660">
      <c r="A660" s="350"/>
      <c r="B660" s="350"/>
      <c r="C660" s="449"/>
      <c r="D660" s="449"/>
      <c r="H660" s="450"/>
      <c r="Q660" s="443"/>
    </row>
    <row r="661">
      <c r="A661" s="350"/>
      <c r="B661" s="350"/>
      <c r="C661" s="449"/>
      <c r="D661" s="449"/>
      <c r="H661" s="450"/>
      <c r="Q661" s="443"/>
    </row>
    <row r="662">
      <c r="A662" s="350"/>
      <c r="B662" s="350"/>
      <c r="C662" s="449"/>
      <c r="D662" s="449"/>
      <c r="H662" s="450"/>
      <c r="Q662" s="443"/>
    </row>
    <row r="663">
      <c r="A663" s="350"/>
      <c r="B663" s="350"/>
      <c r="C663" s="449"/>
      <c r="D663" s="449"/>
      <c r="H663" s="450"/>
      <c r="Q663" s="443"/>
    </row>
    <row r="664">
      <c r="A664" s="350"/>
      <c r="B664" s="350"/>
      <c r="C664" s="449"/>
      <c r="D664" s="449"/>
      <c r="H664" s="450"/>
      <c r="Q664" s="443"/>
    </row>
    <row r="665">
      <c r="A665" s="350"/>
      <c r="B665" s="350"/>
      <c r="C665" s="449"/>
      <c r="D665" s="449"/>
      <c r="H665" s="450"/>
      <c r="Q665" s="443"/>
    </row>
    <row r="666">
      <c r="A666" s="350"/>
      <c r="B666" s="350"/>
      <c r="C666" s="449"/>
      <c r="D666" s="449"/>
      <c r="H666" s="450"/>
      <c r="Q666" s="443"/>
    </row>
    <row r="667">
      <c r="A667" s="350"/>
      <c r="B667" s="350"/>
      <c r="C667" s="449"/>
      <c r="D667" s="449"/>
      <c r="H667" s="450"/>
      <c r="Q667" s="443"/>
    </row>
    <row r="668">
      <c r="A668" s="350"/>
      <c r="B668" s="350"/>
      <c r="C668" s="449"/>
      <c r="D668" s="449"/>
      <c r="H668" s="450"/>
      <c r="Q668" s="443"/>
    </row>
    <row r="669">
      <c r="A669" s="350"/>
      <c r="B669" s="350"/>
      <c r="C669" s="449"/>
      <c r="D669" s="449"/>
      <c r="H669" s="450"/>
      <c r="Q669" s="443"/>
    </row>
    <row r="670">
      <c r="A670" s="350"/>
      <c r="B670" s="350"/>
      <c r="C670" s="449"/>
      <c r="D670" s="449"/>
      <c r="H670" s="450"/>
      <c r="Q670" s="443"/>
    </row>
    <row r="671">
      <c r="A671" s="350"/>
      <c r="B671" s="350"/>
      <c r="C671" s="449"/>
      <c r="D671" s="449"/>
      <c r="H671" s="450"/>
      <c r="Q671" s="443"/>
    </row>
    <row r="672">
      <c r="A672" s="350"/>
      <c r="B672" s="350"/>
      <c r="C672" s="449"/>
      <c r="D672" s="449"/>
      <c r="H672" s="450"/>
      <c r="Q672" s="443"/>
    </row>
    <row r="673">
      <c r="A673" s="350"/>
      <c r="B673" s="350"/>
      <c r="C673" s="449"/>
      <c r="D673" s="449"/>
      <c r="H673" s="450"/>
      <c r="Q673" s="443"/>
    </row>
    <row r="674">
      <c r="A674" s="350"/>
      <c r="B674" s="350"/>
      <c r="C674" s="449"/>
      <c r="D674" s="449"/>
      <c r="H674" s="450"/>
      <c r="Q674" s="443"/>
    </row>
    <row r="675">
      <c r="A675" s="350"/>
      <c r="B675" s="350"/>
      <c r="C675" s="449"/>
      <c r="D675" s="449"/>
      <c r="H675" s="450"/>
      <c r="Q675" s="443"/>
    </row>
    <row r="676">
      <c r="A676" s="350"/>
      <c r="B676" s="350"/>
      <c r="C676" s="449"/>
      <c r="D676" s="449"/>
      <c r="H676" s="450"/>
      <c r="Q676" s="443"/>
    </row>
    <row r="677">
      <c r="A677" s="350"/>
      <c r="B677" s="350"/>
      <c r="C677" s="449"/>
      <c r="D677" s="449"/>
      <c r="H677" s="450"/>
      <c r="Q677" s="443"/>
    </row>
    <row r="678">
      <c r="A678" s="350"/>
      <c r="B678" s="350"/>
      <c r="C678" s="449"/>
      <c r="D678" s="449"/>
      <c r="H678" s="450"/>
      <c r="Q678" s="443"/>
    </row>
    <row r="679">
      <c r="A679" s="350"/>
      <c r="B679" s="350"/>
      <c r="C679" s="449"/>
      <c r="D679" s="449"/>
      <c r="H679" s="450"/>
      <c r="Q679" s="443"/>
    </row>
    <row r="680">
      <c r="A680" s="350"/>
      <c r="B680" s="350"/>
      <c r="C680" s="449"/>
      <c r="D680" s="449"/>
      <c r="H680" s="450"/>
      <c r="Q680" s="443"/>
    </row>
    <row r="681">
      <c r="A681" s="350"/>
      <c r="B681" s="350"/>
      <c r="C681" s="449"/>
      <c r="D681" s="449"/>
      <c r="H681" s="450"/>
      <c r="Q681" s="443"/>
    </row>
    <row r="682">
      <c r="A682" s="350"/>
      <c r="B682" s="350"/>
      <c r="C682" s="449"/>
      <c r="D682" s="449"/>
      <c r="H682" s="450"/>
      <c r="Q682" s="443"/>
    </row>
    <row r="683">
      <c r="A683" s="350"/>
      <c r="B683" s="350"/>
      <c r="C683" s="449"/>
      <c r="D683" s="449"/>
      <c r="H683" s="450"/>
      <c r="Q683" s="443"/>
    </row>
    <row r="684">
      <c r="A684" s="350"/>
      <c r="B684" s="350"/>
      <c r="C684" s="449"/>
      <c r="D684" s="449"/>
      <c r="H684" s="450"/>
      <c r="Q684" s="443"/>
    </row>
    <row r="685">
      <c r="A685" s="350"/>
      <c r="B685" s="350"/>
      <c r="C685" s="449"/>
      <c r="D685" s="449"/>
      <c r="H685" s="450"/>
      <c r="Q685" s="443"/>
    </row>
    <row r="686">
      <c r="A686" s="350"/>
      <c r="B686" s="350"/>
      <c r="C686" s="449"/>
      <c r="D686" s="449"/>
      <c r="H686" s="450"/>
      <c r="Q686" s="443"/>
    </row>
    <row r="687">
      <c r="A687" s="350"/>
      <c r="B687" s="350"/>
      <c r="C687" s="449"/>
      <c r="D687" s="449"/>
      <c r="H687" s="450"/>
      <c r="Q687" s="443"/>
    </row>
    <row r="688">
      <c r="A688" s="350"/>
      <c r="B688" s="350"/>
      <c r="C688" s="449"/>
      <c r="D688" s="449"/>
      <c r="H688" s="450"/>
      <c r="Q688" s="443"/>
    </row>
    <row r="689">
      <c r="A689" s="350"/>
      <c r="B689" s="350"/>
      <c r="C689" s="449"/>
      <c r="D689" s="449"/>
      <c r="H689" s="450"/>
      <c r="Q689" s="443"/>
    </row>
    <row r="690">
      <c r="A690" s="350"/>
      <c r="B690" s="350"/>
      <c r="C690" s="449"/>
      <c r="D690" s="449"/>
      <c r="H690" s="450"/>
      <c r="Q690" s="443"/>
    </row>
    <row r="691">
      <c r="A691" s="350"/>
      <c r="B691" s="350"/>
      <c r="C691" s="449"/>
      <c r="D691" s="449"/>
      <c r="H691" s="450"/>
      <c r="Q691" s="443"/>
    </row>
    <row r="692">
      <c r="A692" s="350"/>
      <c r="B692" s="350"/>
      <c r="C692" s="449"/>
      <c r="D692" s="449"/>
      <c r="H692" s="450"/>
      <c r="Q692" s="443"/>
    </row>
    <row r="693">
      <c r="A693" s="350"/>
      <c r="B693" s="350"/>
      <c r="C693" s="449"/>
      <c r="D693" s="449"/>
      <c r="H693" s="450"/>
      <c r="Q693" s="443"/>
    </row>
    <row r="694">
      <c r="A694" s="350"/>
      <c r="B694" s="350"/>
      <c r="C694" s="449"/>
      <c r="D694" s="449"/>
      <c r="H694" s="450"/>
      <c r="Q694" s="443"/>
    </row>
    <row r="695">
      <c r="A695" s="350"/>
      <c r="B695" s="350"/>
      <c r="C695" s="449"/>
      <c r="D695" s="449"/>
      <c r="H695" s="450"/>
      <c r="Q695" s="443"/>
    </row>
    <row r="696">
      <c r="A696" s="350"/>
      <c r="B696" s="350"/>
      <c r="C696" s="449"/>
      <c r="D696" s="449"/>
      <c r="H696" s="450"/>
      <c r="Q696" s="443"/>
    </row>
    <row r="697">
      <c r="A697" s="350"/>
      <c r="B697" s="350"/>
      <c r="C697" s="449"/>
      <c r="D697" s="449"/>
      <c r="H697" s="450"/>
      <c r="Q697" s="443"/>
    </row>
    <row r="698">
      <c r="A698" s="350"/>
      <c r="B698" s="350"/>
      <c r="C698" s="449"/>
      <c r="D698" s="449"/>
      <c r="H698" s="450"/>
      <c r="Q698" s="443"/>
    </row>
    <row r="699">
      <c r="A699" s="350"/>
      <c r="B699" s="350"/>
      <c r="C699" s="449"/>
      <c r="D699" s="449"/>
      <c r="H699" s="450"/>
      <c r="Q699" s="443"/>
    </row>
    <row r="700">
      <c r="A700" s="350"/>
      <c r="B700" s="350"/>
      <c r="C700" s="449"/>
      <c r="D700" s="449"/>
      <c r="H700" s="450"/>
      <c r="Q700" s="443"/>
    </row>
    <row r="701">
      <c r="A701" s="350"/>
      <c r="B701" s="350"/>
      <c r="C701" s="449"/>
      <c r="D701" s="449"/>
      <c r="H701" s="450"/>
      <c r="Q701" s="443"/>
    </row>
    <row r="702">
      <c r="A702" s="350"/>
      <c r="B702" s="350"/>
      <c r="C702" s="449"/>
      <c r="D702" s="449"/>
      <c r="H702" s="450"/>
      <c r="Q702" s="443"/>
    </row>
    <row r="703">
      <c r="A703" s="350"/>
      <c r="B703" s="350"/>
      <c r="C703" s="449"/>
      <c r="D703" s="449"/>
      <c r="H703" s="450"/>
      <c r="Q703" s="443"/>
    </row>
    <row r="704">
      <c r="A704" s="350"/>
      <c r="B704" s="350"/>
      <c r="C704" s="449"/>
      <c r="D704" s="449"/>
      <c r="H704" s="450"/>
      <c r="Q704" s="443"/>
    </row>
    <row r="705">
      <c r="A705" s="350"/>
      <c r="B705" s="350"/>
      <c r="C705" s="449"/>
      <c r="D705" s="449"/>
      <c r="H705" s="450"/>
      <c r="Q705" s="443"/>
    </row>
    <row r="706">
      <c r="A706" s="350"/>
      <c r="B706" s="350"/>
      <c r="C706" s="449"/>
      <c r="D706" s="449"/>
      <c r="H706" s="450"/>
      <c r="Q706" s="443"/>
    </row>
    <row r="707">
      <c r="A707" s="350"/>
      <c r="B707" s="350"/>
      <c r="C707" s="449"/>
      <c r="D707" s="449"/>
      <c r="H707" s="450"/>
      <c r="Q707" s="443"/>
    </row>
    <row r="708">
      <c r="A708" s="350"/>
      <c r="B708" s="350"/>
      <c r="C708" s="449"/>
      <c r="D708" s="449"/>
      <c r="H708" s="450"/>
      <c r="Q708" s="443"/>
    </row>
    <row r="709">
      <c r="A709" s="350"/>
      <c r="B709" s="350"/>
      <c r="C709" s="449"/>
      <c r="D709" s="449"/>
      <c r="H709" s="450"/>
      <c r="Q709" s="443"/>
    </row>
    <row r="710">
      <c r="A710" s="350"/>
      <c r="B710" s="350"/>
      <c r="C710" s="449"/>
      <c r="D710" s="449"/>
      <c r="H710" s="450"/>
      <c r="Q710" s="443"/>
    </row>
    <row r="711">
      <c r="A711" s="350"/>
      <c r="B711" s="350"/>
      <c r="C711" s="449"/>
      <c r="D711" s="449"/>
      <c r="H711" s="450"/>
      <c r="Q711" s="443"/>
    </row>
    <row r="712">
      <c r="A712" s="350"/>
      <c r="B712" s="350"/>
      <c r="C712" s="449"/>
      <c r="D712" s="449"/>
      <c r="H712" s="450"/>
      <c r="Q712" s="443"/>
    </row>
    <row r="713">
      <c r="A713" s="350"/>
      <c r="B713" s="350"/>
      <c r="C713" s="449"/>
      <c r="D713" s="449"/>
      <c r="H713" s="450"/>
      <c r="Q713" s="443"/>
    </row>
    <row r="714">
      <c r="A714" s="350"/>
      <c r="B714" s="350"/>
      <c r="C714" s="449"/>
      <c r="D714" s="449"/>
      <c r="H714" s="450"/>
      <c r="Q714" s="443"/>
    </row>
    <row r="715">
      <c r="A715" s="350"/>
      <c r="B715" s="350"/>
      <c r="C715" s="449"/>
      <c r="D715" s="449"/>
      <c r="H715" s="450"/>
      <c r="Q715" s="443"/>
    </row>
    <row r="716">
      <c r="A716" s="350"/>
      <c r="B716" s="350"/>
      <c r="C716" s="449"/>
      <c r="D716" s="449"/>
      <c r="H716" s="450"/>
      <c r="Q716" s="443"/>
    </row>
    <row r="717">
      <c r="A717" s="350"/>
      <c r="B717" s="350"/>
      <c r="C717" s="449"/>
      <c r="D717" s="449"/>
      <c r="H717" s="450"/>
      <c r="Q717" s="443"/>
    </row>
    <row r="718">
      <c r="A718" s="350"/>
      <c r="B718" s="350"/>
      <c r="C718" s="449"/>
      <c r="D718" s="449"/>
      <c r="H718" s="450"/>
      <c r="Q718" s="443"/>
    </row>
    <row r="719">
      <c r="A719" s="350"/>
      <c r="B719" s="350"/>
      <c r="C719" s="449"/>
      <c r="D719" s="449"/>
      <c r="H719" s="450"/>
      <c r="Q719" s="443"/>
    </row>
    <row r="720">
      <c r="A720" s="350"/>
      <c r="B720" s="350"/>
      <c r="C720" s="449"/>
      <c r="D720" s="449"/>
      <c r="H720" s="450"/>
      <c r="Q720" s="443"/>
    </row>
    <row r="721">
      <c r="A721" s="350"/>
      <c r="B721" s="350"/>
      <c r="C721" s="449"/>
      <c r="D721" s="449"/>
      <c r="H721" s="450"/>
      <c r="Q721" s="443"/>
    </row>
    <row r="722">
      <c r="A722" s="350"/>
      <c r="B722" s="350"/>
      <c r="C722" s="449"/>
      <c r="D722" s="449"/>
      <c r="H722" s="450"/>
      <c r="Q722" s="443"/>
    </row>
    <row r="723">
      <c r="A723" s="350"/>
      <c r="B723" s="350"/>
      <c r="C723" s="449"/>
      <c r="D723" s="449"/>
      <c r="H723" s="450"/>
      <c r="Q723" s="443"/>
    </row>
    <row r="724">
      <c r="A724" s="350"/>
      <c r="B724" s="350"/>
      <c r="C724" s="449"/>
      <c r="D724" s="449"/>
      <c r="H724" s="450"/>
      <c r="Q724" s="443"/>
    </row>
    <row r="725">
      <c r="A725" s="350"/>
      <c r="B725" s="350"/>
      <c r="C725" s="449"/>
      <c r="D725" s="449"/>
      <c r="H725" s="450"/>
      <c r="Q725" s="443"/>
    </row>
    <row r="726">
      <c r="A726" s="350"/>
      <c r="B726" s="350"/>
      <c r="C726" s="449"/>
      <c r="D726" s="449"/>
      <c r="H726" s="450"/>
      <c r="Q726" s="443"/>
    </row>
    <row r="727">
      <c r="A727" s="350"/>
      <c r="B727" s="350"/>
      <c r="C727" s="449"/>
      <c r="D727" s="449"/>
      <c r="H727" s="450"/>
      <c r="Q727" s="443"/>
    </row>
    <row r="728">
      <c r="A728" s="350"/>
      <c r="B728" s="350"/>
      <c r="C728" s="449"/>
      <c r="D728" s="449"/>
      <c r="H728" s="450"/>
      <c r="Q728" s="443"/>
    </row>
    <row r="729">
      <c r="A729" s="350"/>
      <c r="B729" s="350"/>
      <c r="C729" s="449"/>
      <c r="D729" s="449"/>
      <c r="H729" s="450"/>
      <c r="Q729" s="443"/>
    </row>
    <row r="730">
      <c r="A730" s="350"/>
      <c r="B730" s="350"/>
      <c r="C730" s="449"/>
      <c r="D730" s="449"/>
      <c r="H730" s="450"/>
      <c r="Q730" s="443"/>
    </row>
    <row r="731">
      <c r="A731" s="350"/>
      <c r="B731" s="350"/>
      <c r="C731" s="449"/>
      <c r="D731" s="449"/>
      <c r="H731" s="450"/>
      <c r="Q731" s="443"/>
    </row>
    <row r="732">
      <c r="A732" s="350"/>
      <c r="B732" s="350"/>
      <c r="C732" s="449"/>
      <c r="D732" s="449"/>
      <c r="H732" s="450"/>
      <c r="Q732" s="443"/>
    </row>
    <row r="733">
      <c r="A733" s="350"/>
      <c r="B733" s="350"/>
      <c r="C733" s="449"/>
      <c r="D733" s="449"/>
      <c r="H733" s="450"/>
      <c r="Q733" s="443"/>
    </row>
    <row r="734">
      <c r="A734" s="350"/>
      <c r="B734" s="350"/>
      <c r="C734" s="449"/>
      <c r="D734" s="449"/>
      <c r="H734" s="450"/>
      <c r="Q734" s="443"/>
    </row>
    <row r="735">
      <c r="A735" s="350"/>
      <c r="B735" s="350"/>
      <c r="C735" s="449"/>
      <c r="D735" s="449"/>
      <c r="H735" s="450"/>
      <c r="Q735" s="443"/>
    </row>
    <row r="736">
      <c r="A736" s="350"/>
      <c r="B736" s="350"/>
      <c r="C736" s="449"/>
      <c r="D736" s="449"/>
      <c r="H736" s="450"/>
      <c r="Q736" s="443"/>
    </row>
    <row r="737">
      <c r="A737" s="350"/>
      <c r="B737" s="350"/>
      <c r="C737" s="449"/>
      <c r="D737" s="449"/>
      <c r="H737" s="450"/>
      <c r="Q737" s="443"/>
    </row>
    <row r="738">
      <c r="A738" s="350"/>
      <c r="B738" s="350"/>
      <c r="C738" s="449"/>
      <c r="D738" s="449"/>
      <c r="H738" s="450"/>
      <c r="Q738" s="443"/>
    </row>
    <row r="739">
      <c r="A739" s="350"/>
      <c r="B739" s="350"/>
      <c r="C739" s="449"/>
      <c r="D739" s="449"/>
      <c r="H739" s="450"/>
      <c r="Q739" s="443"/>
    </row>
    <row r="740">
      <c r="A740" s="350"/>
      <c r="B740" s="350"/>
      <c r="C740" s="449"/>
      <c r="D740" s="449"/>
      <c r="H740" s="450"/>
      <c r="Q740" s="443"/>
    </row>
    <row r="741">
      <c r="A741" s="350"/>
      <c r="B741" s="350"/>
      <c r="C741" s="449"/>
      <c r="D741" s="449"/>
      <c r="H741" s="450"/>
      <c r="Q741" s="443"/>
    </row>
    <row r="742">
      <c r="A742" s="350"/>
      <c r="B742" s="350"/>
      <c r="C742" s="449"/>
      <c r="D742" s="449"/>
      <c r="H742" s="450"/>
      <c r="Q742" s="443"/>
    </row>
    <row r="743">
      <c r="A743" s="350"/>
      <c r="B743" s="350"/>
      <c r="C743" s="449"/>
      <c r="D743" s="449"/>
      <c r="H743" s="450"/>
      <c r="Q743" s="443"/>
    </row>
    <row r="744">
      <c r="A744" s="350"/>
      <c r="B744" s="350"/>
      <c r="C744" s="449"/>
      <c r="D744" s="449"/>
      <c r="H744" s="450"/>
      <c r="Q744" s="443"/>
    </row>
    <row r="745">
      <c r="A745" s="350"/>
      <c r="B745" s="350"/>
      <c r="C745" s="449"/>
      <c r="D745" s="449"/>
      <c r="H745" s="450"/>
      <c r="Q745" s="443"/>
    </row>
    <row r="746">
      <c r="A746" s="350"/>
      <c r="B746" s="350"/>
      <c r="C746" s="449"/>
      <c r="D746" s="449"/>
      <c r="H746" s="450"/>
      <c r="Q746" s="443"/>
    </row>
    <row r="747">
      <c r="A747" s="350"/>
      <c r="B747" s="350"/>
      <c r="C747" s="449"/>
      <c r="D747" s="449"/>
      <c r="H747" s="450"/>
      <c r="Q747" s="443"/>
    </row>
    <row r="748">
      <c r="A748" s="350"/>
      <c r="B748" s="350"/>
      <c r="C748" s="449"/>
      <c r="D748" s="449"/>
      <c r="H748" s="450"/>
      <c r="Q748" s="443"/>
    </row>
    <row r="749">
      <c r="A749" s="350"/>
      <c r="B749" s="350"/>
      <c r="C749" s="449"/>
      <c r="D749" s="449"/>
      <c r="H749" s="450"/>
      <c r="Q749" s="443"/>
    </row>
    <row r="750">
      <c r="A750" s="350"/>
      <c r="B750" s="350"/>
      <c r="C750" s="449"/>
      <c r="D750" s="449"/>
      <c r="H750" s="450"/>
      <c r="Q750" s="443"/>
    </row>
    <row r="751">
      <c r="A751" s="350"/>
      <c r="B751" s="350"/>
      <c r="C751" s="449"/>
      <c r="D751" s="449"/>
      <c r="H751" s="450"/>
      <c r="Q751" s="443"/>
    </row>
    <row r="752">
      <c r="A752" s="350"/>
      <c r="B752" s="350"/>
      <c r="C752" s="449"/>
      <c r="D752" s="449"/>
      <c r="H752" s="450"/>
      <c r="Q752" s="443"/>
    </row>
    <row r="753">
      <c r="A753" s="350"/>
      <c r="B753" s="350"/>
      <c r="C753" s="449"/>
      <c r="D753" s="449"/>
      <c r="H753" s="450"/>
      <c r="Q753" s="443"/>
    </row>
    <row r="754">
      <c r="A754" s="350"/>
      <c r="B754" s="350"/>
      <c r="C754" s="449"/>
      <c r="D754" s="449"/>
      <c r="H754" s="450"/>
      <c r="Q754" s="443"/>
    </row>
    <row r="755">
      <c r="A755" s="350"/>
      <c r="B755" s="350"/>
      <c r="C755" s="449"/>
      <c r="D755" s="449"/>
      <c r="H755" s="450"/>
      <c r="Q755" s="443"/>
    </row>
    <row r="756">
      <c r="A756" s="350"/>
      <c r="B756" s="350"/>
      <c r="C756" s="449"/>
      <c r="D756" s="449"/>
      <c r="H756" s="450"/>
      <c r="Q756" s="443"/>
    </row>
    <row r="757">
      <c r="A757" s="350"/>
      <c r="B757" s="350"/>
      <c r="C757" s="449"/>
      <c r="D757" s="449"/>
      <c r="H757" s="450"/>
      <c r="Q757" s="443"/>
    </row>
    <row r="758">
      <c r="A758" s="350"/>
      <c r="B758" s="350"/>
      <c r="C758" s="449"/>
      <c r="D758" s="449"/>
      <c r="H758" s="450"/>
      <c r="Q758" s="443"/>
    </row>
    <row r="759">
      <c r="A759" s="350"/>
      <c r="B759" s="350"/>
      <c r="C759" s="449"/>
      <c r="D759" s="449"/>
      <c r="H759" s="450"/>
      <c r="Q759" s="443"/>
    </row>
    <row r="760">
      <c r="A760" s="350"/>
      <c r="B760" s="350"/>
      <c r="C760" s="449"/>
      <c r="D760" s="449"/>
      <c r="H760" s="450"/>
      <c r="Q760" s="443"/>
    </row>
    <row r="761">
      <c r="A761" s="350"/>
      <c r="B761" s="350"/>
      <c r="C761" s="449"/>
      <c r="D761" s="449"/>
      <c r="H761" s="450"/>
      <c r="Q761" s="443"/>
    </row>
    <row r="762">
      <c r="A762" s="350"/>
      <c r="B762" s="350"/>
      <c r="C762" s="449"/>
      <c r="D762" s="449"/>
      <c r="H762" s="450"/>
      <c r="Q762" s="443"/>
    </row>
    <row r="763">
      <c r="A763" s="350"/>
      <c r="B763" s="350"/>
      <c r="C763" s="449"/>
      <c r="D763" s="449"/>
      <c r="H763" s="450"/>
      <c r="Q763" s="443"/>
    </row>
    <row r="764">
      <c r="A764" s="350"/>
      <c r="B764" s="350"/>
      <c r="C764" s="449"/>
      <c r="D764" s="449"/>
      <c r="H764" s="450"/>
      <c r="Q764" s="443"/>
    </row>
    <row r="765">
      <c r="A765" s="350"/>
      <c r="B765" s="350"/>
      <c r="C765" s="449"/>
      <c r="D765" s="449"/>
      <c r="H765" s="450"/>
      <c r="Q765" s="443"/>
    </row>
    <row r="766">
      <c r="A766" s="350"/>
      <c r="B766" s="350"/>
      <c r="C766" s="449"/>
      <c r="D766" s="449"/>
      <c r="H766" s="450"/>
      <c r="Q766" s="443"/>
    </row>
    <row r="767">
      <c r="A767" s="350"/>
      <c r="B767" s="350"/>
      <c r="C767" s="449"/>
      <c r="D767" s="449"/>
      <c r="H767" s="450"/>
      <c r="Q767" s="443"/>
    </row>
    <row r="768">
      <c r="A768" s="350"/>
      <c r="B768" s="350"/>
      <c r="C768" s="449"/>
      <c r="D768" s="449"/>
      <c r="H768" s="450"/>
      <c r="Q768" s="443"/>
    </row>
    <row r="769">
      <c r="A769" s="350"/>
      <c r="B769" s="350"/>
      <c r="C769" s="449"/>
      <c r="D769" s="449"/>
      <c r="H769" s="450"/>
      <c r="Q769" s="443"/>
    </row>
    <row r="770">
      <c r="A770" s="350"/>
      <c r="B770" s="350"/>
      <c r="C770" s="449"/>
      <c r="D770" s="449"/>
      <c r="H770" s="450"/>
      <c r="Q770" s="443"/>
    </row>
    <row r="771">
      <c r="A771" s="350"/>
      <c r="B771" s="350"/>
      <c r="C771" s="449"/>
      <c r="D771" s="449"/>
      <c r="H771" s="450"/>
      <c r="Q771" s="443"/>
    </row>
    <row r="772">
      <c r="A772" s="350"/>
      <c r="B772" s="350"/>
      <c r="C772" s="449"/>
      <c r="D772" s="449"/>
      <c r="H772" s="450"/>
      <c r="Q772" s="443"/>
    </row>
    <row r="773">
      <c r="A773" s="350"/>
      <c r="B773" s="350"/>
      <c r="C773" s="449"/>
      <c r="D773" s="449"/>
      <c r="H773" s="450"/>
      <c r="Q773" s="443"/>
    </row>
    <row r="774">
      <c r="A774" s="350"/>
      <c r="B774" s="350"/>
      <c r="C774" s="449"/>
      <c r="D774" s="449"/>
      <c r="H774" s="450"/>
      <c r="Q774" s="443"/>
    </row>
    <row r="775">
      <c r="A775" s="350"/>
      <c r="B775" s="350"/>
      <c r="C775" s="449"/>
      <c r="D775" s="449"/>
      <c r="H775" s="450"/>
      <c r="Q775" s="443"/>
    </row>
    <row r="776">
      <c r="A776" s="350"/>
      <c r="B776" s="350"/>
      <c r="C776" s="449"/>
      <c r="D776" s="449"/>
      <c r="H776" s="450"/>
      <c r="Q776" s="443"/>
    </row>
    <row r="777">
      <c r="A777" s="350"/>
      <c r="B777" s="350"/>
      <c r="C777" s="449"/>
      <c r="D777" s="449"/>
      <c r="H777" s="450"/>
      <c r="Q777" s="443"/>
    </row>
    <row r="778">
      <c r="A778" s="350"/>
      <c r="B778" s="350"/>
      <c r="C778" s="449"/>
      <c r="D778" s="449"/>
      <c r="H778" s="450"/>
      <c r="Q778" s="443"/>
    </row>
    <row r="779">
      <c r="A779" s="350"/>
      <c r="B779" s="350"/>
      <c r="C779" s="449"/>
      <c r="D779" s="449"/>
      <c r="H779" s="450"/>
      <c r="Q779" s="443"/>
    </row>
    <row r="780">
      <c r="A780" s="350"/>
      <c r="B780" s="350"/>
      <c r="C780" s="449"/>
      <c r="D780" s="449"/>
      <c r="H780" s="450"/>
      <c r="Q780" s="443"/>
    </row>
    <row r="781">
      <c r="A781" s="350"/>
      <c r="B781" s="350"/>
      <c r="C781" s="449"/>
      <c r="D781" s="449"/>
      <c r="H781" s="450"/>
      <c r="Q781" s="443"/>
    </row>
    <row r="782">
      <c r="A782" s="350"/>
      <c r="B782" s="350"/>
      <c r="C782" s="449"/>
      <c r="D782" s="449"/>
      <c r="H782" s="450"/>
      <c r="Q782" s="443"/>
    </row>
    <row r="783">
      <c r="A783" s="350"/>
      <c r="B783" s="350"/>
      <c r="C783" s="449"/>
      <c r="D783" s="449"/>
      <c r="H783" s="450"/>
      <c r="Q783" s="443"/>
    </row>
    <row r="784">
      <c r="A784" s="350"/>
      <c r="B784" s="350"/>
      <c r="C784" s="449"/>
      <c r="D784" s="449"/>
      <c r="H784" s="450"/>
      <c r="Q784" s="443"/>
    </row>
    <row r="785">
      <c r="A785" s="350"/>
      <c r="B785" s="350"/>
      <c r="C785" s="449"/>
      <c r="D785" s="449"/>
      <c r="H785" s="450"/>
      <c r="Q785" s="443"/>
    </row>
    <row r="786">
      <c r="A786" s="350"/>
      <c r="B786" s="350"/>
      <c r="C786" s="449"/>
      <c r="D786" s="449"/>
      <c r="H786" s="450"/>
      <c r="Q786" s="443"/>
    </row>
    <row r="787">
      <c r="A787" s="350"/>
      <c r="B787" s="350"/>
      <c r="C787" s="449"/>
      <c r="D787" s="449"/>
      <c r="H787" s="450"/>
      <c r="Q787" s="443"/>
    </row>
    <row r="788">
      <c r="A788" s="350"/>
      <c r="B788" s="350"/>
      <c r="C788" s="449"/>
      <c r="D788" s="449"/>
      <c r="H788" s="450"/>
      <c r="Q788" s="443"/>
    </row>
    <row r="789">
      <c r="A789" s="350"/>
      <c r="B789" s="350"/>
      <c r="C789" s="449"/>
      <c r="D789" s="449"/>
      <c r="H789" s="450"/>
      <c r="Q789" s="443"/>
    </row>
    <row r="790">
      <c r="A790" s="350"/>
      <c r="B790" s="350"/>
      <c r="C790" s="449"/>
      <c r="D790" s="449"/>
      <c r="H790" s="450"/>
      <c r="Q790" s="443"/>
    </row>
    <row r="791">
      <c r="A791" s="350"/>
      <c r="B791" s="350"/>
      <c r="C791" s="449"/>
      <c r="D791" s="449"/>
      <c r="H791" s="450"/>
      <c r="Q791" s="443"/>
    </row>
    <row r="792">
      <c r="A792" s="350"/>
      <c r="B792" s="350"/>
      <c r="C792" s="449"/>
      <c r="D792" s="449"/>
      <c r="H792" s="450"/>
      <c r="Q792" s="443"/>
    </row>
    <row r="793">
      <c r="A793" s="350"/>
      <c r="B793" s="350"/>
      <c r="C793" s="449"/>
      <c r="D793" s="449"/>
      <c r="H793" s="450"/>
      <c r="Q793" s="443"/>
    </row>
    <row r="794">
      <c r="A794" s="350"/>
      <c r="B794" s="350"/>
      <c r="C794" s="449"/>
      <c r="D794" s="449"/>
      <c r="H794" s="450"/>
      <c r="Q794" s="443"/>
    </row>
    <row r="795">
      <c r="A795" s="350"/>
      <c r="B795" s="350"/>
      <c r="C795" s="449"/>
      <c r="D795" s="449"/>
      <c r="H795" s="450"/>
      <c r="Q795" s="443"/>
    </row>
    <row r="796">
      <c r="A796" s="350"/>
      <c r="B796" s="350"/>
      <c r="C796" s="449"/>
      <c r="D796" s="449"/>
      <c r="H796" s="450"/>
      <c r="Q796" s="443"/>
    </row>
    <row r="797">
      <c r="A797" s="350"/>
      <c r="B797" s="350"/>
      <c r="C797" s="449"/>
      <c r="D797" s="449"/>
      <c r="H797" s="450"/>
      <c r="Q797" s="443"/>
    </row>
    <row r="798">
      <c r="A798" s="350"/>
      <c r="B798" s="350"/>
      <c r="C798" s="449"/>
      <c r="D798" s="449"/>
      <c r="H798" s="450"/>
      <c r="Q798" s="443"/>
    </row>
    <row r="799">
      <c r="A799" s="350"/>
      <c r="B799" s="350"/>
      <c r="C799" s="449"/>
      <c r="D799" s="449"/>
      <c r="H799" s="450"/>
      <c r="Q799" s="443"/>
    </row>
    <row r="800">
      <c r="A800" s="350"/>
      <c r="B800" s="350"/>
      <c r="C800" s="449"/>
      <c r="D800" s="449"/>
      <c r="H800" s="450"/>
      <c r="Q800" s="443"/>
    </row>
    <row r="801">
      <c r="A801" s="350"/>
      <c r="B801" s="350"/>
      <c r="C801" s="449"/>
      <c r="D801" s="449"/>
      <c r="H801" s="450"/>
      <c r="Q801" s="443"/>
    </row>
    <row r="802">
      <c r="A802" s="350"/>
      <c r="B802" s="350"/>
      <c r="C802" s="449"/>
      <c r="D802" s="449"/>
      <c r="H802" s="450"/>
      <c r="Q802" s="443"/>
    </row>
    <row r="803">
      <c r="A803" s="350"/>
      <c r="B803" s="350"/>
      <c r="C803" s="449"/>
      <c r="D803" s="449"/>
      <c r="H803" s="450"/>
      <c r="Q803" s="443"/>
    </row>
    <row r="804">
      <c r="A804" s="350"/>
      <c r="B804" s="350"/>
      <c r="C804" s="449"/>
      <c r="D804" s="449"/>
      <c r="H804" s="450"/>
      <c r="Q804" s="443"/>
    </row>
    <row r="805">
      <c r="A805" s="350"/>
      <c r="B805" s="350"/>
      <c r="C805" s="449"/>
      <c r="D805" s="449"/>
      <c r="H805" s="450"/>
      <c r="Q805" s="443"/>
    </row>
    <row r="806">
      <c r="A806" s="350"/>
      <c r="B806" s="350"/>
      <c r="C806" s="449"/>
      <c r="D806" s="449"/>
      <c r="H806" s="450"/>
      <c r="Q806" s="443"/>
    </row>
    <row r="807">
      <c r="A807" s="350"/>
      <c r="B807" s="350"/>
      <c r="C807" s="449"/>
      <c r="D807" s="449"/>
      <c r="H807" s="450"/>
      <c r="Q807" s="443"/>
    </row>
    <row r="808">
      <c r="A808" s="350"/>
      <c r="B808" s="350"/>
      <c r="C808" s="449"/>
      <c r="D808" s="449"/>
      <c r="H808" s="450"/>
      <c r="Q808" s="443"/>
    </row>
    <row r="809">
      <c r="A809" s="350"/>
      <c r="B809" s="350"/>
      <c r="C809" s="449"/>
      <c r="D809" s="449"/>
      <c r="H809" s="450"/>
      <c r="Q809" s="443"/>
    </row>
    <row r="810">
      <c r="A810" s="350"/>
      <c r="B810" s="350"/>
      <c r="C810" s="449"/>
      <c r="D810" s="449"/>
      <c r="H810" s="450"/>
      <c r="Q810" s="443"/>
    </row>
    <row r="811">
      <c r="A811" s="350"/>
      <c r="B811" s="350"/>
      <c r="C811" s="449"/>
      <c r="D811" s="449"/>
      <c r="H811" s="450"/>
      <c r="Q811" s="443"/>
    </row>
    <row r="812">
      <c r="A812" s="350"/>
      <c r="B812" s="350"/>
      <c r="C812" s="449"/>
      <c r="D812" s="449"/>
      <c r="H812" s="450"/>
      <c r="Q812" s="443"/>
    </row>
    <row r="813">
      <c r="A813" s="350"/>
      <c r="B813" s="350"/>
      <c r="C813" s="449"/>
      <c r="D813" s="449"/>
      <c r="H813" s="450"/>
      <c r="Q813" s="443"/>
    </row>
    <row r="814">
      <c r="A814" s="350"/>
      <c r="B814" s="350"/>
      <c r="C814" s="449"/>
      <c r="D814" s="449"/>
      <c r="H814" s="450"/>
      <c r="Q814" s="443"/>
    </row>
    <row r="815">
      <c r="A815" s="350"/>
      <c r="B815" s="350"/>
      <c r="C815" s="449"/>
      <c r="D815" s="449"/>
      <c r="H815" s="450"/>
      <c r="Q815" s="443"/>
    </row>
    <row r="816">
      <c r="A816" s="350"/>
      <c r="B816" s="350"/>
      <c r="C816" s="449"/>
      <c r="D816" s="449"/>
      <c r="H816" s="450"/>
      <c r="Q816" s="443"/>
    </row>
    <row r="817">
      <c r="A817" s="350"/>
      <c r="B817" s="350"/>
      <c r="C817" s="449"/>
      <c r="D817" s="449"/>
      <c r="H817" s="450"/>
      <c r="Q817" s="443"/>
    </row>
    <row r="818">
      <c r="A818" s="350"/>
      <c r="B818" s="350"/>
      <c r="C818" s="449"/>
      <c r="D818" s="449"/>
      <c r="H818" s="450"/>
      <c r="Q818" s="443"/>
    </row>
    <row r="819">
      <c r="A819" s="350"/>
      <c r="B819" s="350"/>
      <c r="C819" s="449"/>
      <c r="D819" s="449"/>
      <c r="H819" s="450"/>
      <c r="Q819" s="443"/>
    </row>
    <row r="820">
      <c r="A820" s="350"/>
      <c r="B820" s="350"/>
      <c r="C820" s="449"/>
      <c r="D820" s="449"/>
      <c r="H820" s="450"/>
      <c r="Q820" s="443"/>
    </row>
    <row r="821">
      <c r="A821" s="350"/>
      <c r="B821" s="350"/>
      <c r="C821" s="449"/>
      <c r="D821" s="449"/>
      <c r="H821" s="450"/>
      <c r="Q821" s="443"/>
    </row>
    <row r="822">
      <c r="A822" s="350"/>
      <c r="B822" s="350"/>
      <c r="C822" s="449"/>
      <c r="D822" s="449"/>
      <c r="H822" s="450"/>
      <c r="Q822" s="443"/>
    </row>
    <row r="823">
      <c r="A823" s="350"/>
      <c r="B823" s="350"/>
      <c r="C823" s="449"/>
      <c r="D823" s="449"/>
      <c r="H823" s="450"/>
      <c r="Q823" s="443"/>
    </row>
    <row r="824">
      <c r="A824" s="350"/>
      <c r="B824" s="350"/>
      <c r="C824" s="449"/>
      <c r="D824" s="449"/>
      <c r="H824" s="450"/>
      <c r="Q824" s="443"/>
    </row>
    <row r="825">
      <c r="A825" s="350"/>
      <c r="B825" s="350"/>
      <c r="C825" s="449"/>
      <c r="D825" s="449"/>
      <c r="H825" s="450"/>
      <c r="Q825" s="443"/>
    </row>
    <row r="826">
      <c r="A826" s="350"/>
      <c r="B826" s="350"/>
      <c r="C826" s="449"/>
      <c r="D826" s="449"/>
      <c r="H826" s="450"/>
      <c r="Q826" s="443"/>
    </row>
    <row r="827">
      <c r="A827" s="350"/>
      <c r="B827" s="350"/>
      <c r="C827" s="449"/>
      <c r="D827" s="449"/>
      <c r="H827" s="450"/>
      <c r="Q827" s="443"/>
    </row>
    <row r="828">
      <c r="A828" s="350"/>
      <c r="B828" s="350"/>
      <c r="C828" s="449"/>
      <c r="D828" s="449"/>
      <c r="H828" s="450"/>
      <c r="Q828" s="443"/>
    </row>
    <row r="829">
      <c r="A829" s="350"/>
      <c r="B829" s="350"/>
      <c r="C829" s="449"/>
      <c r="D829" s="449"/>
      <c r="H829" s="450"/>
      <c r="Q829" s="443"/>
    </row>
    <row r="830">
      <c r="A830" s="350"/>
      <c r="B830" s="350"/>
      <c r="C830" s="449"/>
      <c r="D830" s="449"/>
      <c r="H830" s="450"/>
      <c r="Q830" s="443"/>
    </row>
    <row r="831">
      <c r="A831" s="350"/>
      <c r="B831" s="350"/>
      <c r="C831" s="449"/>
      <c r="D831" s="449"/>
      <c r="H831" s="450"/>
      <c r="Q831" s="443"/>
    </row>
    <row r="832">
      <c r="A832" s="350"/>
      <c r="B832" s="350"/>
      <c r="C832" s="449"/>
      <c r="D832" s="449"/>
      <c r="H832" s="450"/>
      <c r="Q832" s="443"/>
    </row>
    <row r="833">
      <c r="A833" s="350"/>
      <c r="B833" s="350"/>
      <c r="C833" s="449"/>
      <c r="D833" s="449"/>
      <c r="H833" s="450"/>
      <c r="Q833" s="443"/>
    </row>
    <row r="834">
      <c r="A834" s="350"/>
      <c r="B834" s="350"/>
      <c r="C834" s="449"/>
      <c r="D834" s="449"/>
      <c r="H834" s="450"/>
      <c r="Q834" s="443"/>
    </row>
    <row r="835">
      <c r="A835" s="350"/>
      <c r="B835" s="350"/>
      <c r="C835" s="449"/>
      <c r="D835" s="449"/>
      <c r="H835" s="450"/>
      <c r="Q835" s="443"/>
    </row>
    <row r="836">
      <c r="A836" s="350"/>
      <c r="B836" s="350"/>
      <c r="C836" s="449"/>
      <c r="D836" s="449"/>
      <c r="H836" s="450"/>
      <c r="Q836" s="443"/>
    </row>
    <row r="837">
      <c r="A837" s="350"/>
      <c r="B837" s="350"/>
      <c r="C837" s="449"/>
      <c r="D837" s="449"/>
      <c r="H837" s="450"/>
      <c r="Q837" s="443"/>
    </row>
    <row r="838">
      <c r="A838" s="350"/>
      <c r="B838" s="350"/>
      <c r="C838" s="449"/>
      <c r="D838" s="449"/>
      <c r="H838" s="450"/>
      <c r="Q838" s="443"/>
    </row>
    <row r="839">
      <c r="A839" s="350"/>
      <c r="B839" s="350"/>
      <c r="C839" s="449"/>
      <c r="D839" s="449"/>
      <c r="H839" s="450"/>
      <c r="Q839" s="443"/>
    </row>
    <row r="840">
      <c r="A840" s="350"/>
      <c r="B840" s="350"/>
      <c r="C840" s="449"/>
      <c r="D840" s="449"/>
      <c r="H840" s="450"/>
      <c r="Q840" s="443"/>
    </row>
    <row r="841">
      <c r="A841" s="350"/>
      <c r="B841" s="350"/>
      <c r="C841" s="449"/>
      <c r="D841" s="449"/>
      <c r="H841" s="450"/>
      <c r="Q841" s="443"/>
    </row>
    <row r="842">
      <c r="A842" s="350"/>
      <c r="B842" s="350"/>
      <c r="C842" s="449"/>
      <c r="D842" s="449"/>
      <c r="H842" s="450"/>
      <c r="Q842" s="443"/>
    </row>
    <row r="843">
      <c r="A843" s="350"/>
      <c r="B843" s="350"/>
      <c r="C843" s="449"/>
      <c r="D843" s="449"/>
      <c r="H843" s="450"/>
      <c r="Q843" s="443"/>
    </row>
    <row r="844">
      <c r="A844" s="350"/>
      <c r="B844" s="350"/>
      <c r="C844" s="449"/>
      <c r="D844" s="449"/>
      <c r="H844" s="450"/>
      <c r="Q844" s="443"/>
    </row>
    <row r="845">
      <c r="A845" s="350"/>
      <c r="B845" s="350"/>
      <c r="C845" s="449"/>
      <c r="D845" s="449"/>
      <c r="H845" s="450"/>
      <c r="Q845" s="443"/>
    </row>
    <row r="846">
      <c r="A846" s="350"/>
      <c r="B846" s="350"/>
      <c r="C846" s="449"/>
      <c r="D846" s="449"/>
      <c r="H846" s="450"/>
      <c r="Q846" s="443"/>
    </row>
    <row r="847">
      <c r="A847" s="350"/>
      <c r="B847" s="350"/>
      <c r="C847" s="449"/>
      <c r="D847" s="449"/>
      <c r="H847" s="450"/>
      <c r="Q847" s="443"/>
    </row>
    <row r="848">
      <c r="A848" s="350"/>
      <c r="B848" s="350"/>
      <c r="C848" s="449"/>
      <c r="D848" s="449"/>
      <c r="H848" s="450"/>
      <c r="Q848" s="443"/>
    </row>
    <row r="849">
      <c r="A849" s="350"/>
      <c r="B849" s="350"/>
      <c r="C849" s="449"/>
      <c r="D849" s="449"/>
      <c r="H849" s="450"/>
      <c r="Q849" s="443"/>
    </row>
    <row r="850">
      <c r="A850" s="350"/>
      <c r="B850" s="350"/>
      <c r="C850" s="449"/>
      <c r="D850" s="449"/>
      <c r="H850" s="450"/>
      <c r="Q850" s="443"/>
    </row>
    <row r="851">
      <c r="A851" s="350"/>
      <c r="B851" s="350"/>
      <c r="C851" s="449"/>
      <c r="D851" s="449"/>
      <c r="H851" s="450"/>
      <c r="Q851" s="443"/>
    </row>
    <row r="852">
      <c r="A852" s="350"/>
      <c r="B852" s="350"/>
      <c r="C852" s="449"/>
      <c r="D852" s="449"/>
      <c r="H852" s="450"/>
      <c r="Q852" s="443"/>
    </row>
    <row r="853">
      <c r="A853" s="350"/>
      <c r="B853" s="350"/>
      <c r="C853" s="449"/>
      <c r="D853" s="449"/>
      <c r="H853" s="450"/>
      <c r="Q853" s="443"/>
    </row>
    <row r="854">
      <c r="A854" s="350"/>
      <c r="B854" s="350"/>
      <c r="C854" s="449"/>
      <c r="D854" s="449"/>
      <c r="H854" s="450"/>
      <c r="Q854" s="443"/>
    </row>
    <row r="855">
      <c r="A855" s="350"/>
      <c r="B855" s="350"/>
      <c r="C855" s="449"/>
      <c r="D855" s="449"/>
      <c r="H855" s="450"/>
      <c r="Q855" s="443"/>
    </row>
    <row r="856">
      <c r="A856" s="350"/>
      <c r="B856" s="350"/>
      <c r="C856" s="449"/>
      <c r="D856" s="449"/>
      <c r="H856" s="450"/>
      <c r="Q856" s="443"/>
    </row>
    <row r="857">
      <c r="A857" s="350"/>
      <c r="B857" s="350"/>
      <c r="C857" s="449"/>
      <c r="D857" s="449"/>
      <c r="H857" s="450"/>
      <c r="Q857" s="443"/>
    </row>
    <row r="858">
      <c r="A858" s="350"/>
      <c r="B858" s="350"/>
      <c r="C858" s="449"/>
      <c r="D858" s="449"/>
      <c r="H858" s="450"/>
      <c r="Q858" s="443"/>
    </row>
    <row r="859">
      <c r="A859" s="350"/>
      <c r="B859" s="350"/>
      <c r="C859" s="449"/>
      <c r="D859" s="449"/>
      <c r="H859" s="450"/>
      <c r="Q859" s="443"/>
    </row>
    <row r="860">
      <c r="A860" s="350"/>
      <c r="B860" s="350"/>
      <c r="C860" s="449"/>
      <c r="D860" s="449"/>
      <c r="H860" s="450"/>
      <c r="Q860" s="443"/>
    </row>
    <row r="861">
      <c r="A861" s="350"/>
      <c r="B861" s="350"/>
      <c r="C861" s="449"/>
      <c r="D861" s="449"/>
      <c r="H861" s="450"/>
      <c r="Q861" s="443"/>
    </row>
    <row r="862">
      <c r="A862" s="350"/>
      <c r="B862" s="350"/>
      <c r="C862" s="449"/>
      <c r="D862" s="449"/>
      <c r="H862" s="450"/>
      <c r="Q862" s="443"/>
    </row>
    <row r="863">
      <c r="A863" s="350"/>
      <c r="B863" s="350"/>
      <c r="C863" s="449"/>
      <c r="D863" s="449"/>
      <c r="H863" s="450"/>
      <c r="Q863" s="443"/>
    </row>
    <row r="864">
      <c r="A864" s="350"/>
      <c r="B864" s="350"/>
      <c r="C864" s="449"/>
      <c r="D864" s="449"/>
      <c r="H864" s="450"/>
      <c r="Q864" s="443"/>
    </row>
    <row r="865">
      <c r="A865" s="350"/>
      <c r="B865" s="350"/>
      <c r="C865" s="449"/>
      <c r="D865" s="449"/>
      <c r="H865" s="450"/>
      <c r="Q865" s="443"/>
    </row>
    <row r="866">
      <c r="A866" s="350"/>
      <c r="B866" s="350"/>
      <c r="C866" s="449"/>
      <c r="D866" s="449"/>
      <c r="H866" s="450"/>
      <c r="Q866" s="443"/>
    </row>
    <row r="867">
      <c r="A867" s="350"/>
      <c r="B867" s="350"/>
      <c r="C867" s="449"/>
      <c r="D867" s="449"/>
      <c r="H867" s="450"/>
      <c r="Q867" s="443"/>
    </row>
    <row r="868">
      <c r="A868" s="350"/>
      <c r="B868" s="350"/>
      <c r="C868" s="449"/>
      <c r="D868" s="449"/>
      <c r="H868" s="450"/>
      <c r="Q868" s="443"/>
    </row>
    <row r="869">
      <c r="A869" s="350"/>
      <c r="B869" s="350"/>
      <c r="C869" s="449"/>
      <c r="D869" s="449"/>
      <c r="H869" s="450"/>
      <c r="Q869" s="443"/>
    </row>
    <row r="870">
      <c r="A870" s="350"/>
      <c r="B870" s="350"/>
      <c r="C870" s="449"/>
      <c r="D870" s="449"/>
      <c r="H870" s="450"/>
      <c r="Q870" s="443"/>
    </row>
    <row r="871">
      <c r="A871" s="350"/>
      <c r="B871" s="350"/>
      <c r="C871" s="449"/>
      <c r="D871" s="449"/>
      <c r="H871" s="450"/>
      <c r="Q871" s="443"/>
    </row>
    <row r="872">
      <c r="A872" s="350"/>
      <c r="B872" s="350"/>
      <c r="C872" s="449"/>
      <c r="D872" s="449"/>
      <c r="H872" s="450"/>
      <c r="Q872" s="443"/>
    </row>
    <row r="873">
      <c r="A873" s="350"/>
      <c r="B873" s="350"/>
      <c r="C873" s="449"/>
      <c r="D873" s="449"/>
      <c r="H873" s="450"/>
      <c r="Q873" s="443"/>
    </row>
    <row r="874">
      <c r="A874" s="350"/>
      <c r="B874" s="350"/>
      <c r="C874" s="449"/>
      <c r="D874" s="449"/>
      <c r="H874" s="450"/>
      <c r="Q874" s="443"/>
    </row>
    <row r="875">
      <c r="A875" s="350"/>
      <c r="B875" s="350"/>
      <c r="C875" s="449"/>
      <c r="D875" s="449"/>
      <c r="H875" s="450"/>
      <c r="Q875" s="443"/>
    </row>
    <row r="876">
      <c r="A876" s="350"/>
      <c r="B876" s="350"/>
      <c r="C876" s="449"/>
      <c r="D876" s="449"/>
      <c r="H876" s="450"/>
      <c r="Q876" s="443"/>
    </row>
    <row r="877">
      <c r="A877" s="350"/>
      <c r="B877" s="350"/>
      <c r="C877" s="449"/>
      <c r="D877" s="449"/>
      <c r="H877" s="450"/>
      <c r="Q877" s="443"/>
    </row>
    <row r="878">
      <c r="A878" s="350"/>
      <c r="B878" s="350"/>
      <c r="C878" s="449"/>
      <c r="D878" s="449"/>
      <c r="H878" s="450"/>
      <c r="Q878" s="443"/>
    </row>
    <row r="879">
      <c r="A879" s="350"/>
      <c r="B879" s="350"/>
      <c r="C879" s="449"/>
      <c r="D879" s="449"/>
      <c r="H879" s="450"/>
      <c r="Q879" s="443"/>
    </row>
    <row r="880">
      <c r="A880" s="350"/>
      <c r="B880" s="350"/>
      <c r="C880" s="449"/>
      <c r="D880" s="449"/>
      <c r="H880" s="450"/>
      <c r="Q880" s="443"/>
    </row>
    <row r="881">
      <c r="A881" s="350"/>
      <c r="B881" s="350"/>
      <c r="C881" s="449"/>
      <c r="D881" s="449"/>
      <c r="H881" s="450"/>
      <c r="Q881" s="443"/>
    </row>
    <row r="882">
      <c r="A882" s="350"/>
      <c r="B882" s="350"/>
      <c r="C882" s="449"/>
      <c r="D882" s="449"/>
      <c r="H882" s="450"/>
      <c r="Q882" s="443"/>
    </row>
    <row r="883">
      <c r="A883" s="350"/>
      <c r="B883" s="350"/>
      <c r="C883" s="449"/>
      <c r="D883" s="449"/>
      <c r="H883" s="450"/>
      <c r="Q883" s="443"/>
    </row>
    <row r="884">
      <c r="A884" s="350"/>
      <c r="B884" s="350"/>
      <c r="C884" s="449"/>
      <c r="D884" s="449"/>
      <c r="H884" s="450"/>
      <c r="Q884" s="443"/>
    </row>
    <row r="885">
      <c r="A885" s="350"/>
      <c r="B885" s="350"/>
      <c r="C885" s="449"/>
      <c r="D885" s="449"/>
      <c r="H885" s="450"/>
      <c r="Q885" s="443"/>
    </row>
    <row r="886">
      <c r="A886" s="350"/>
      <c r="B886" s="350"/>
      <c r="C886" s="449"/>
      <c r="D886" s="449"/>
      <c r="H886" s="450"/>
      <c r="Q886" s="443"/>
    </row>
    <row r="887">
      <c r="A887" s="350"/>
      <c r="B887" s="350"/>
      <c r="C887" s="449"/>
      <c r="D887" s="449"/>
      <c r="H887" s="450"/>
      <c r="Q887" s="443"/>
    </row>
    <row r="888">
      <c r="A888" s="350"/>
      <c r="B888" s="350"/>
      <c r="C888" s="449"/>
      <c r="D888" s="449"/>
      <c r="H888" s="450"/>
      <c r="Q888" s="443"/>
    </row>
    <row r="889">
      <c r="A889" s="350"/>
      <c r="B889" s="350"/>
      <c r="C889" s="449"/>
      <c r="D889" s="449"/>
      <c r="H889" s="450"/>
      <c r="Q889" s="443"/>
    </row>
    <row r="890">
      <c r="A890" s="350"/>
      <c r="B890" s="350"/>
      <c r="C890" s="449"/>
      <c r="D890" s="449"/>
      <c r="H890" s="450"/>
      <c r="Q890" s="443"/>
    </row>
    <row r="891">
      <c r="A891" s="350"/>
      <c r="B891" s="350"/>
      <c r="C891" s="449"/>
      <c r="D891" s="449"/>
      <c r="H891" s="450"/>
      <c r="Q891" s="443"/>
    </row>
    <row r="892">
      <c r="A892" s="350"/>
      <c r="B892" s="350"/>
      <c r="C892" s="449"/>
      <c r="D892" s="449"/>
      <c r="H892" s="450"/>
      <c r="Q892" s="443"/>
    </row>
    <row r="893">
      <c r="A893" s="350"/>
      <c r="B893" s="350"/>
      <c r="C893" s="449"/>
      <c r="D893" s="449"/>
      <c r="H893" s="450"/>
      <c r="Q893" s="443"/>
    </row>
    <row r="894">
      <c r="A894" s="350"/>
      <c r="B894" s="350"/>
      <c r="C894" s="449"/>
      <c r="D894" s="449"/>
      <c r="H894" s="450"/>
      <c r="Q894" s="443"/>
    </row>
    <row r="895">
      <c r="A895" s="350"/>
      <c r="B895" s="350"/>
      <c r="C895" s="449"/>
      <c r="D895" s="449"/>
      <c r="H895" s="450"/>
      <c r="Q895" s="443"/>
    </row>
    <row r="896">
      <c r="A896" s="350"/>
      <c r="B896" s="350"/>
      <c r="C896" s="449"/>
      <c r="D896" s="449"/>
      <c r="H896" s="450"/>
      <c r="Q896" s="443"/>
    </row>
    <row r="897">
      <c r="A897" s="350"/>
      <c r="B897" s="350"/>
      <c r="C897" s="449"/>
      <c r="D897" s="449"/>
      <c r="H897" s="450"/>
      <c r="Q897" s="443"/>
    </row>
    <row r="898">
      <c r="A898" s="350"/>
      <c r="B898" s="350"/>
      <c r="C898" s="449"/>
      <c r="D898" s="449"/>
      <c r="H898" s="450"/>
      <c r="Q898" s="443"/>
    </row>
    <row r="899">
      <c r="A899" s="350"/>
      <c r="B899" s="350"/>
      <c r="C899" s="449"/>
      <c r="D899" s="449"/>
      <c r="H899" s="450"/>
      <c r="Q899" s="443"/>
    </row>
    <row r="900">
      <c r="A900" s="350"/>
      <c r="B900" s="350"/>
      <c r="C900" s="449"/>
      <c r="D900" s="449"/>
      <c r="H900" s="450"/>
      <c r="Q900" s="443"/>
    </row>
    <row r="901">
      <c r="A901" s="350"/>
      <c r="B901" s="350"/>
      <c r="C901" s="449"/>
      <c r="D901" s="449"/>
      <c r="H901" s="450"/>
      <c r="Q901" s="443"/>
    </row>
    <row r="902">
      <c r="A902" s="350"/>
      <c r="B902" s="350"/>
      <c r="C902" s="449"/>
      <c r="D902" s="449"/>
      <c r="H902" s="450"/>
      <c r="Q902" s="443"/>
    </row>
    <row r="903">
      <c r="A903" s="350"/>
      <c r="B903" s="350"/>
      <c r="C903" s="449"/>
      <c r="D903" s="449"/>
      <c r="H903" s="450"/>
      <c r="Q903" s="443"/>
    </row>
    <row r="904">
      <c r="A904" s="350"/>
      <c r="B904" s="350"/>
      <c r="C904" s="449"/>
      <c r="D904" s="449"/>
      <c r="H904" s="450"/>
      <c r="Q904" s="443"/>
    </row>
    <row r="905">
      <c r="A905" s="350"/>
      <c r="B905" s="350"/>
      <c r="C905" s="449"/>
      <c r="D905" s="449"/>
      <c r="H905" s="450"/>
      <c r="Q905" s="443"/>
    </row>
    <row r="906">
      <c r="A906" s="350"/>
      <c r="B906" s="350"/>
      <c r="C906" s="449"/>
      <c r="D906" s="449"/>
      <c r="H906" s="450"/>
      <c r="Q906" s="443"/>
    </row>
    <row r="907">
      <c r="A907" s="350"/>
      <c r="B907" s="350"/>
      <c r="C907" s="449"/>
      <c r="D907" s="449"/>
      <c r="H907" s="450"/>
      <c r="Q907" s="443"/>
    </row>
    <row r="908">
      <c r="A908" s="350"/>
      <c r="B908" s="350"/>
      <c r="C908" s="449"/>
      <c r="D908" s="449"/>
      <c r="H908" s="450"/>
      <c r="Q908" s="443"/>
    </row>
    <row r="909">
      <c r="A909" s="350"/>
      <c r="B909" s="350"/>
      <c r="C909" s="449"/>
      <c r="D909" s="449"/>
      <c r="H909" s="450"/>
      <c r="Q909" s="443"/>
    </row>
    <row r="910">
      <c r="A910" s="350"/>
      <c r="B910" s="350"/>
      <c r="C910" s="449"/>
      <c r="D910" s="449"/>
      <c r="H910" s="450"/>
      <c r="Q910" s="443"/>
    </row>
    <row r="911">
      <c r="A911" s="350"/>
      <c r="B911" s="350"/>
      <c r="C911" s="449"/>
      <c r="D911" s="449"/>
      <c r="H911" s="450"/>
      <c r="Q911" s="443"/>
    </row>
    <row r="912">
      <c r="A912" s="350"/>
      <c r="B912" s="350"/>
      <c r="C912" s="449"/>
      <c r="D912" s="449"/>
      <c r="H912" s="450"/>
      <c r="Q912" s="443"/>
    </row>
    <row r="913">
      <c r="A913" s="350"/>
      <c r="B913" s="350"/>
      <c r="C913" s="449"/>
      <c r="D913" s="449"/>
      <c r="H913" s="450"/>
      <c r="Q913" s="443"/>
    </row>
    <row r="914">
      <c r="A914" s="350"/>
      <c r="B914" s="350"/>
      <c r="C914" s="449"/>
      <c r="D914" s="449"/>
      <c r="H914" s="450"/>
      <c r="Q914" s="443"/>
    </row>
    <row r="915">
      <c r="A915" s="350"/>
      <c r="B915" s="350"/>
      <c r="C915" s="449"/>
      <c r="D915" s="449"/>
      <c r="H915" s="450"/>
      <c r="Q915" s="443"/>
    </row>
    <row r="916">
      <c r="A916" s="350"/>
      <c r="B916" s="350"/>
      <c r="C916" s="449"/>
      <c r="D916" s="449"/>
      <c r="H916" s="450"/>
      <c r="Q916" s="443"/>
    </row>
    <row r="917">
      <c r="A917" s="350"/>
      <c r="B917" s="350"/>
      <c r="C917" s="449"/>
      <c r="D917" s="449"/>
      <c r="H917" s="450"/>
      <c r="Q917" s="443"/>
    </row>
    <row r="918">
      <c r="A918" s="350"/>
      <c r="B918" s="350"/>
      <c r="C918" s="449"/>
      <c r="D918" s="449"/>
      <c r="H918" s="450"/>
      <c r="Q918" s="443"/>
    </row>
    <row r="919">
      <c r="A919" s="350"/>
      <c r="B919" s="350"/>
      <c r="C919" s="449"/>
      <c r="D919" s="449"/>
      <c r="H919" s="450"/>
      <c r="Q919" s="443"/>
    </row>
    <row r="920">
      <c r="A920" s="350"/>
      <c r="B920" s="350"/>
      <c r="C920" s="449"/>
      <c r="D920" s="449"/>
      <c r="H920" s="450"/>
      <c r="Q920" s="443"/>
    </row>
    <row r="921">
      <c r="A921" s="350"/>
      <c r="B921" s="350"/>
      <c r="C921" s="449"/>
      <c r="D921" s="449"/>
      <c r="H921" s="450"/>
      <c r="Q921" s="443"/>
    </row>
    <row r="922">
      <c r="A922" s="350"/>
      <c r="B922" s="350"/>
      <c r="C922" s="449"/>
      <c r="D922" s="449"/>
      <c r="H922" s="450"/>
      <c r="Q922" s="443"/>
    </row>
    <row r="923">
      <c r="A923" s="350"/>
      <c r="B923" s="350"/>
      <c r="C923" s="449"/>
      <c r="D923" s="449"/>
      <c r="H923" s="450"/>
      <c r="Q923" s="443"/>
    </row>
    <row r="924">
      <c r="A924" s="350"/>
      <c r="B924" s="350"/>
      <c r="C924" s="449"/>
      <c r="D924" s="449"/>
      <c r="H924" s="450"/>
      <c r="Q924" s="443"/>
    </row>
    <row r="925">
      <c r="A925" s="350"/>
      <c r="B925" s="350"/>
      <c r="C925" s="449"/>
      <c r="D925" s="449"/>
      <c r="H925" s="450"/>
      <c r="Q925" s="443"/>
    </row>
    <row r="926">
      <c r="A926" s="350"/>
      <c r="B926" s="350"/>
      <c r="C926" s="449"/>
      <c r="D926" s="449"/>
      <c r="H926" s="450"/>
      <c r="Q926" s="443"/>
    </row>
    <row r="927">
      <c r="A927" s="350"/>
      <c r="B927" s="350"/>
      <c r="C927" s="449"/>
      <c r="D927" s="449"/>
      <c r="H927" s="450"/>
      <c r="Q927" s="443"/>
    </row>
    <row r="928">
      <c r="A928" s="350"/>
      <c r="B928" s="350"/>
      <c r="C928" s="449"/>
      <c r="D928" s="449"/>
      <c r="H928" s="450"/>
      <c r="Q928" s="443"/>
    </row>
    <row r="929">
      <c r="A929" s="350"/>
      <c r="B929" s="350"/>
      <c r="C929" s="449"/>
      <c r="D929" s="449"/>
      <c r="H929" s="450"/>
      <c r="Q929" s="443"/>
    </row>
    <row r="930">
      <c r="A930" s="350"/>
      <c r="B930" s="350"/>
      <c r="C930" s="449"/>
      <c r="D930" s="449"/>
      <c r="H930" s="450"/>
      <c r="Q930" s="443"/>
    </row>
    <row r="931">
      <c r="A931" s="350"/>
      <c r="B931" s="350"/>
      <c r="C931" s="449"/>
      <c r="D931" s="449"/>
      <c r="H931" s="450"/>
      <c r="Q931" s="443"/>
    </row>
    <row r="932">
      <c r="A932" s="350"/>
      <c r="B932" s="350"/>
      <c r="C932" s="449"/>
      <c r="D932" s="449"/>
      <c r="H932" s="450"/>
      <c r="Q932" s="443"/>
    </row>
    <row r="933">
      <c r="A933" s="350"/>
      <c r="B933" s="350"/>
      <c r="C933" s="449"/>
      <c r="D933" s="449"/>
      <c r="H933" s="450"/>
      <c r="Q933" s="443"/>
    </row>
    <row r="934">
      <c r="A934" s="350"/>
      <c r="B934" s="350"/>
      <c r="C934" s="449"/>
      <c r="D934" s="449"/>
      <c r="H934" s="450"/>
      <c r="Q934" s="443"/>
    </row>
    <row r="935">
      <c r="A935" s="350"/>
      <c r="B935" s="350"/>
      <c r="C935" s="449"/>
      <c r="D935" s="449"/>
      <c r="H935" s="450"/>
      <c r="Q935" s="443"/>
    </row>
    <row r="936">
      <c r="A936" s="350"/>
      <c r="B936" s="350"/>
      <c r="C936" s="449"/>
      <c r="D936" s="449"/>
      <c r="H936" s="450"/>
      <c r="Q936" s="443"/>
    </row>
    <row r="937">
      <c r="A937" s="350"/>
      <c r="B937" s="350"/>
      <c r="C937" s="449"/>
      <c r="D937" s="449"/>
      <c r="H937" s="450"/>
      <c r="Q937" s="443"/>
    </row>
    <row r="938">
      <c r="A938" s="350"/>
      <c r="B938" s="350"/>
      <c r="C938" s="449"/>
      <c r="D938" s="449"/>
      <c r="H938" s="450"/>
      <c r="Q938" s="443"/>
    </row>
    <row r="939">
      <c r="A939" s="350"/>
      <c r="B939" s="350"/>
      <c r="C939" s="449"/>
      <c r="D939" s="449"/>
      <c r="H939" s="450"/>
      <c r="Q939" s="443"/>
    </row>
    <row r="940">
      <c r="A940" s="350"/>
      <c r="B940" s="350"/>
      <c r="C940" s="449"/>
      <c r="D940" s="449"/>
      <c r="H940" s="450"/>
      <c r="Q940" s="443"/>
    </row>
    <row r="941">
      <c r="A941" s="350"/>
      <c r="B941" s="350"/>
      <c r="C941" s="449"/>
      <c r="D941" s="449"/>
      <c r="H941" s="450"/>
      <c r="Q941" s="443"/>
    </row>
    <row r="942">
      <c r="A942" s="350"/>
      <c r="B942" s="350"/>
      <c r="C942" s="449"/>
      <c r="D942" s="449"/>
      <c r="H942" s="450"/>
      <c r="Q942" s="443"/>
    </row>
    <row r="943">
      <c r="A943" s="350"/>
      <c r="B943" s="350"/>
      <c r="C943" s="449"/>
      <c r="D943" s="449"/>
      <c r="H943" s="450"/>
      <c r="Q943" s="443"/>
    </row>
    <row r="944">
      <c r="A944" s="350"/>
      <c r="B944" s="350"/>
      <c r="C944" s="449"/>
      <c r="D944" s="449"/>
      <c r="H944" s="450"/>
      <c r="Q944" s="443"/>
    </row>
    <row r="945">
      <c r="A945" s="350"/>
      <c r="B945" s="350"/>
      <c r="C945" s="449"/>
      <c r="D945" s="449"/>
      <c r="H945" s="450"/>
      <c r="Q945" s="443"/>
    </row>
    <row r="946">
      <c r="A946" s="350"/>
      <c r="B946" s="350"/>
      <c r="C946" s="449"/>
      <c r="D946" s="449"/>
      <c r="H946" s="450"/>
      <c r="Q946" s="443"/>
    </row>
    <row r="947">
      <c r="A947" s="350"/>
      <c r="B947" s="350"/>
      <c r="C947" s="449"/>
      <c r="D947" s="449"/>
      <c r="H947" s="450"/>
      <c r="Q947" s="443"/>
    </row>
    <row r="948">
      <c r="A948" s="350"/>
      <c r="B948" s="350"/>
      <c r="C948" s="449"/>
      <c r="D948" s="449"/>
      <c r="H948" s="450"/>
      <c r="Q948" s="443"/>
    </row>
    <row r="949">
      <c r="A949" s="350"/>
      <c r="B949" s="350"/>
      <c r="C949" s="449"/>
      <c r="D949" s="449"/>
      <c r="H949" s="450"/>
      <c r="Q949" s="443"/>
    </row>
    <row r="950">
      <c r="A950" s="350"/>
      <c r="B950" s="350"/>
      <c r="C950" s="449"/>
      <c r="D950" s="449"/>
      <c r="H950" s="450"/>
      <c r="Q950" s="443"/>
    </row>
    <row r="951">
      <c r="A951" s="350"/>
      <c r="B951" s="350"/>
      <c r="C951" s="449"/>
      <c r="D951" s="449"/>
      <c r="H951" s="450"/>
      <c r="Q951" s="443"/>
    </row>
    <row r="952">
      <c r="A952" s="350"/>
      <c r="B952" s="350"/>
      <c r="C952" s="449"/>
      <c r="D952" s="449"/>
      <c r="H952" s="450"/>
      <c r="Q952" s="443"/>
    </row>
    <row r="953">
      <c r="A953" s="350"/>
      <c r="B953" s="350"/>
      <c r="C953" s="449"/>
      <c r="D953" s="449"/>
      <c r="H953" s="450"/>
      <c r="Q953" s="443"/>
    </row>
    <row r="954">
      <c r="A954" s="350"/>
      <c r="B954" s="350"/>
      <c r="C954" s="449"/>
      <c r="D954" s="449"/>
      <c r="H954" s="450"/>
      <c r="Q954" s="443"/>
    </row>
    <row r="955">
      <c r="A955" s="350"/>
      <c r="B955" s="350"/>
      <c r="C955" s="449"/>
      <c r="D955" s="449"/>
      <c r="H955" s="450"/>
      <c r="Q955" s="443"/>
    </row>
    <row r="956">
      <c r="A956" s="350"/>
      <c r="B956" s="350"/>
      <c r="C956" s="449"/>
      <c r="D956" s="449"/>
      <c r="H956" s="450"/>
      <c r="Q956" s="443"/>
    </row>
    <row r="957">
      <c r="A957" s="350"/>
      <c r="B957" s="350"/>
      <c r="C957" s="449"/>
      <c r="D957" s="449"/>
      <c r="H957" s="450"/>
      <c r="Q957" s="443"/>
    </row>
    <row r="958">
      <c r="A958" s="350"/>
      <c r="B958" s="350"/>
      <c r="C958" s="449"/>
      <c r="D958" s="449"/>
      <c r="H958" s="450"/>
      <c r="Q958" s="443"/>
    </row>
    <row r="959">
      <c r="A959" s="350"/>
      <c r="B959" s="350"/>
      <c r="C959" s="449"/>
      <c r="D959" s="449"/>
      <c r="H959" s="450"/>
      <c r="Q959" s="443"/>
    </row>
    <row r="960">
      <c r="A960" s="350"/>
      <c r="B960" s="350"/>
      <c r="C960" s="449"/>
      <c r="D960" s="449"/>
      <c r="H960" s="450"/>
      <c r="Q960" s="443"/>
    </row>
    <row r="961">
      <c r="A961" s="350"/>
      <c r="B961" s="350"/>
      <c r="C961" s="449"/>
      <c r="D961" s="449"/>
      <c r="H961" s="450"/>
      <c r="Q961" s="443"/>
    </row>
    <row r="962">
      <c r="A962" s="350"/>
      <c r="B962" s="350"/>
      <c r="C962" s="449"/>
      <c r="D962" s="449"/>
      <c r="H962" s="450"/>
      <c r="Q962" s="443"/>
    </row>
    <row r="963">
      <c r="A963" s="350"/>
      <c r="B963" s="350"/>
      <c r="C963" s="449"/>
      <c r="D963" s="449"/>
      <c r="H963" s="450"/>
      <c r="Q963" s="443"/>
    </row>
    <row r="964">
      <c r="A964" s="350"/>
      <c r="B964" s="350"/>
      <c r="C964" s="449"/>
      <c r="D964" s="449"/>
      <c r="H964" s="450"/>
      <c r="Q964" s="443"/>
    </row>
    <row r="965">
      <c r="A965" s="350"/>
      <c r="B965" s="350"/>
      <c r="C965" s="449"/>
      <c r="D965" s="449"/>
      <c r="H965" s="450"/>
      <c r="Q965" s="443"/>
    </row>
    <row r="966">
      <c r="A966" s="350"/>
      <c r="B966" s="350"/>
      <c r="C966" s="449"/>
      <c r="D966" s="449"/>
      <c r="H966" s="450"/>
      <c r="Q966" s="443"/>
    </row>
    <row r="967">
      <c r="A967" s="350"/>
      <c r="B967" s="350"/>
      <c r="C967" s="449"/>
      <c r="D967" s="449"/>
      <c r="H967" s="450"/>
      <c r="Q967" s="443"/>
    </row>
    <row r="968">
      <c r="A968" s="350"/>
      <c r="B968" s="350"/>
      <c r="C968" s="449"/>
      <c r="D968" s="449"/>
      <c r="H968" s="450"/>
      <c r="Q968" s="443"/>
    </row>
    <row r="969">
      <c r="A969" s="350"/>
      <c r="B969" s="350"/>
      <c r="C969" s="449"/>
      <c r="D969" s="449"/>
      <c r="H969" s="450"/>
      <c r="Q969" s="443"/>
    </row>
    <row r="970">
      <c r="A970" s="350"/>
      <c r="B970" s="350"/>
      <c r="C970" s="449"/>
      <c r="D970" s="449"/>
      <c r="H970" s="450"/>
      <c r="Q970" s="443"/>
    </row>
    <row r="971">
      <c r="A971" s="350"/>
      <c r="B971" s="350"/>
      <c r="C971" s="449"/>
      <c r="D971" s="449"/>
      <c r="H971" s="450"/>
      <c r="Q971" s="443"/>
    </row>
    <row r="972">
      <c r="A972" s="350"/>
      <c r="B972" s="350"/>
      <c r="C972" s="449"/>
      <c r="D972" s="449"/>
      <c r="H972" s="450"/>
      <c r="Q972" s="443"/>
    </row>
    <row r="973">
      <c r="A973" s="350"/>
      <c r="B973" s="350"/>
      <c r="C973" s="449"/>
      <c r="D973" s="449"/>
      <c r="H973" s="450"/>
      <c r="Q973" s="443"/>
    </row>
    <row r="974">
      <c r="A974" s="350"/>
      <c r="B974" s="350"/>
      <c r="C974" s="449"/>
      <c r="D974" s="449"/>
      <c r="H974" s="450"/>
      <c r="Q974" s="443"/>
    </row>
    <row r="975">
      <c r="A975" s="350"/>
      <c r="B975" s="350"/>
      <c r="C975" s="449"/>
      <c r="D975" s="449"/>
      <c r="H975" s="450"/>
      <c r="Q975" s="443"/>
    </row>
    <row r="976">
      <c r="A976" s="350"/>
      <c r="B976" s="350"/>
      <c r="C976" s="449"/>
      <c r="D976" s="449"/>
      <c r="H976" s="450"/>
      <c r="Q976" s="443"/>
    </row>
    <row r="977">
      <c r="A977" s="350"/>
      <c r="B977" s="350"/>
      <c r="C977" s="449"/>
      <c r="D977" s="449"/>
      <c r="H977" s="450"/>
      <c r="Q977" s="443"/>
    </row>
    <row r="978">
      <c r="A978" s="350"/>
      <c r="B978" s="350"/>
      <c r="C978" s="449"/>
      <c r="D978" s="449"/>
      <c r="H978" s="450"/>
      <c r="Q978" s="443"/>
    </row>
    <row r="979">
      <c r="A979" s="350"/>
      <c r="B979" s="350"/>
      <c r="C979" s="449"/>
      <c r="D979" s="449"/>
      <c r="H979" s="450"/>
      <c r="Q979" s="443"/>
    </row>
    <row r="980">
      <c r="A980" s="350"/>
      <c r="B980" s="350"/>
      <c r="C980" s="449"/>
      <c r="D980" s="449"/>
      <c r="H980" s="450"/>
      <c r="Q980" s="443"/>
    </row>
    <row r="981">
      <c r="A981" s="350"/>
      <c r="B981" s="350"/>
      <c r="C981" s="449"/>
      <c r="D981" s="449"/>
      <c r="H981" s="450"/>
      <c r="Q981" s="443"/>
    </row>
    <row r="982">
      <c r="A982" s="350"/>
      <c r="B982" s="350"/>
      <c r="C982" s="449"/>
      <c r="D982" s="449"/>
      <c r="H982" s="450"/>
      <c r="Q982" s="443"/>
    </row>
    <row r="983">
      <c r="A983" s="350"/>
      <c r="B983" s="350"/>
      <c r="C983" s="449"/>
      <c r="D983" s="449"/>
      <c r="H983" s="450"/>
      <c r="Q983" s="443"/>
    </row>
    <row r="984">
      <c r="A984" s="350"/>
      <c r="B984" s="350"/>
      <c r="C984" s="449"/>
      <c r="D984" s="449"/>
      <c r="H984" s="450"/>
      <c r="Q984" s="443"/>
    </row>
    <row r="985">
      <c r="A985" s="350"/>
      <c r="B985" s="350"/>
      <c r="C985" s="449"/>
      <c r="D985" s="449"/>
      <c r="H985" s="450"/>
      <c r="Q985" s="443"/>
    </row>
    <row r="986">
      <c r="A986" s="350"/>
      <c r="B986" s="350"/>
      <c r="C986" s="449"/>
      <c r="D986" s="449"/>
      <c r="H986" s="450"/>
      <c r="Q986" s="443"/>
    </row>
    <row r="987">
      <c r="A987" s="350"/>
      <c r="B987" s="350"/>
      <c r="C987" s="449"/>
      <c r="D987" s="449"/>
      <c r="H987" s="450"/>
      <c r="Q987" s="443"/>
    </row>
    <row r="988">
      <c r="A988" s="350"/>
      <c r="B988" s="350"/>
      <c r="C988" s="449"/>
      <c r="D988" s="449"/>
      <c r="H988" s="450"/>
      <c r="Q988" s="443"/>
    </row>
    <row r="989">
      <c r="A989" s="350"/>
      <c r="B989" s="350"/>
      <c r="C989" s="449"/>
      <c r="D989" s="449"/>
      <c r="H989" s="450"/>
      <c r="Q989" s="443"/>
    </row>
    <row r="990">
      <c r="A990" s="350"/>
      <c r="B990" s="350"/>
      <c r="C990" s="449"/>
      <c r="D990" s="449"/>
      <c r="H990" s="450"/>
      <c r="Q990" s="443"/>
    </row>
    <row r="991">
      <c r="A991" s="350"/>
      <c r="B991" s="350"/>
      <c r="C991" s="449"/>
      <c r="D991" s="449"/>
      <c r="H991" s="450"/>
      <c r="Q991" s="443"/>
    </row>
    <row r="992">
      <c r="A992" s="350"/>
      <c r="B992" s="350"/>
      <c r="C992" s="449"/>
      <c r="D992" s="449"/>
      <c r="H992" s="450"/>
      <c r="Q992" s="443"/>
    </row>
    <row r="993">
      <c r="A993" s="350"/>
      <c r="B993" s="350"/>
      <c r="C993" s="449"/>
      <c r="D993" s="449"/>
      <c r="H993" s="450"/>
      <c r="Q993" s="443"/>
    </row>
    <row r="994">
      <c r="A994" s="350"/>
      <c r="B994" s="350"/>
      <c r="C994" s="449"/>
      <c r="D994" s="449"/>
      <c r="H994" s="450"/>
      <c r="Q994" s="443"/>
    </row>
    <row r="995">
      <c r="A995" s="350"/>
      <c r="B995" s="350"/>
      <c r="C995" s="449"/>
      <c r="D995" s="449"/>
      <c r="H995" s="450"/>
      <c r="Q995" s="443"/>
    </row>
    <row r="996">
      <c r="A996" s="350"/>
      <c r="B996" s="350"/>
      <c r="C996" s="449"/>
      <c r="D996" s="449"/>
      <c r="H996" s="450"/>
      <c r="Q996" s="443"/>
    </row>
    <row r="997">
      <c r="A997" s="350"/>
      <c r="B997" s="350"/>
      <c r="C997" s="449"/>
      <c r="D997" s="449"/>
      <c r="H997" s="450"/>
      <c r="Q997" s="443"/>
    </row>
    <row r="998">
      <c r="A998" s="350"/>
      <c r="B998" s="350"/>
      <c r="C998" s="449"/>
      <c r="D998" s="449"/>
      <c r="H998" s="450"/>
      <c r="Q998" s="443"/>
    </row>
    <row r="999">
      <c r="A999" s="350"/>
      <c r="B999" s="350"/>
      <c r="C999" s="449"/>
      <c r="D999" s="449"/>
      <c r="H999" s="450"/>
      <c r="Q999" s="443"/>
    </row>
    <row r="1000">
      <c r="A1000" s="350"/>
      <c r="B1000" s="350"/>
      <c r="C1000" s="449"/>
      <c r="D1000" s="449"/>
      <c r="H1000" s="450"/>
      <c r="Q1000" s="443"/>
    </row>
    <row r="1001">
      <c r="A1001" s="350"/>
      <c r="B1001" s="350"/>
      <c r="C1001" s="449"/>
      <c r="D1001" s="449"/>
      <c r="H1001" s="450"/>
      <c r="Q1001" s="443"/>
    </row>
    <row r="1002">
      <c r="A1002" s="350"/>
      <c r="B1002" s="350"/>
      <c r="C1002" s="449"/>
      <c r="D1002" s="449"/>
      <c r="H1002" s="450"/>
      <c r="Q1002" s="443"/>
    </row>
    <row r="1003">
      <c r="A1003" s="350"/>
      <c r="B1003" s="350"/>
      <c r="C1003" s="449"/>
      <c r="D1003" s="449"/>
      <c r="H1003" s="450"/>
      <c r="Q1003" s="443"/>
    </row>
    <row r="1004">
      <c r="A1004" s="350"/>
      <c r="B1004" s="350"/>
      <c r="C1004" s="449"/>
      <c r="D1004" s="449"/>
      <c r="H1004" s="450"/>
      <c r="Q1004" s="443"/>
    </row>
    <row r="1005">
      <c r="A1005" s="350"/>
      <c r="B1005" s="350"/>
      <c r="C1005" s="449"/>
      <c r="D1005" s="449"/>
      <c r="H1005" s="450"/>
      <c r="Q1005" s="443"/>
    </row>
    <row r="1006">
      <c r="A1006" s="350"/>
      <c r="B1006" s="350"/>
      <c r="C1006" s="449"/>
      <c r="D1006" s="449"/>
      <c r="H1006" s="450"/>
      <c r="Q1006" s="443"/>
    </row>
    <row r="1007">
      <c r="A1007" s="350"/>
      <c r="B1007" s="350"/>
      <c r="C1007" s="449"/>
      <c r="D1007" s="449"/>
      <c r="H1007" s="450"/>
      <c r="Q1007" s="443"/>
    </row>
    <row r="1008">
      <c r="A1008" s="350"/>
      <c r="B1008" s="350"/>
      <c r="C1008" s="449"/>
      <c r="D1008" s="449"/>
      <c r="H1008" s="450"/>
      <c r="Q1008" s="443"/>
    </row>
    <row r="1009">
      <c r="A1009" s="350"/>
      <c r="B1009" s="350"/>
      <c r="C1009" s="449"/>
      <c r="D1009" s="449"/>
      <c r="H1009" s="450"/>
      <c r="Q1009" s="443"/>
    </row>
    <row r="1010">
      <c r="A1010" s="350"/>
      <c r="B1010" s="350"/>
      <c r="C1010" s="449"/>
      <c r="D1010" s="449"/>
      <c r="H1010" s="450"/>
      <c r="Q1010" s="443"/>
    </row>
    <row r="1011">
      <c r="A1011" s="350"/>
      <c r="B1011" s="350"/>
      <c r="C1011" s="449"/>
      <c r="D1011" s="449"/>
      <c r="H1011" s="450"/>
      <c r="Q1011" s="443"/>
    </row>
    <row r="1012">
      <c r="A1012" s="350"/>
      <c r="B1012" s="350"/>
      <c r="C1012" s="449"/>
      <c r="D1012" s="449"/>
      <c r="H1012" s="450"/>
      <c r="Q1012" s="443"/>
    </row>
    <row r="1013">
      <c r="A1013" s="350"/>
      <c r="B1013" s="350"/>
      <c r="C1013" s="449"/>
      <c r="D1013" s="449"/>
      <c r="H1013" s="450"/>
      <c r="Q1013" s="443"/>
    </row>
    <row r="1014">
      <c r="A1014" s="350"/>
      <c r="B1014" s="350"/>
      <c r="C1014" s="449"/>
      <c r="D1014" s="449"/>
      <c r="H1014" s="450"/>
      <c r="Q1014" s="443"/>
    </row>
    <row r="1015">
      <c r="A1015" s="350"/>
      <c r="B1015" s="350"/>
      <c r="C1015" s="449"/>
      <c r="D1015" s="449"/>
      <c r="H1015" s="450"/>
      <c r="Q1015" s="443"/>
    </row>
  </sheetData>
  <conditionalFormatting sqref="G1:G1015">
    <cfRule type="colorScale" priority="1">
      <colorScale>
        <cfvo type="min"/>
        <cfvo type="percentile" val="80"/>
        <cfvo type="max"/>
        <color rgb="FF57BB8A"/>
        <color rgb="FFFFD666"/>
        <color rgb="FFE67C73"/>
      </colorScale>
    </cfRule>
  </conditionalFormatting>
  <conditionalFormatting sqref="J2:L159 N2:P159 M30 M73:M77">
    <cfRule type="cellIs" dxfId="0" priority="2" operator="equal">
      <formula>"JA"</formula>
    </cfRule>
  </conditionalFormatting>
  <conditionalFormatting sqref="J2:L159 N2:P159 M30 M73:M77">
    <cfRule type="cellIs" dxfId="1" priority="3" operator="equal">
      <formula>"NEE"</formula>
    </cfRule>
  </conditionalFormatting>
  <conditionalFormatting sqref="H2:H159">
    <cfRule type="colorScale" priority="4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I2:I149 J30:Q30">
    <cfRule type="colorScale" priority="5">
      <colorScale>
        <cfvo type="formula" val="80"/>
        <cfvo type="formula" val="200"/>
        <cfvo type="max"/>
        <color rgb="FF57BB8A"/>
        <color rgb="FFFFD666"/>
        <color rgb="FFE67C73"/>
      </colorScale>
    </cfRule>
  </conditionalFormatting>
  <conditionalFormatting sqref="M2:M159">
    <cfRule type="cellIs" dxfId="11" priority="6" operator="equal">
      <formula>"Direct"</formula>
    </cfRule>
  </conditionalFormatting>
  <conditionalFormatting sqref="M2:M159">
    <cfRule type="cellIs" dxfId="12" priority="7" operator="equal">
      <formula>"Booking"</formula>
    </cfRule>
  </conditionalFormatting>
  <conditionalFormatting sqref="M2:M159">
    <cfRule type="cellIs" dxfId="13" priority="8" operator="equal">
      <formula>"Airbnb"</formula>
    </cfRule>
  </conditionalFormatting>
  <conditionalFormatting sqref="M2:M29">
    <cfRule type="cellIs" dxfId="14" priority="9" operator="equal">
      <formula>"Expedia"</formula>
    </cfRule>
  </conditionalFormatting>
  <conditionalFormatting sqref="M31:M159">
    <cfRule type="cellIs" dxfId="14" priority="10" operator="equal">
      <formula>"Expedia"</formula>
    </cfRule>
  </conditionalFormatting>
  <hyperlinks>
    <hyperlink r:id="rId1" ref="Q5"/>
    <hyperlink r:id="rId2" ref="Q6"/>
    <hyperlink r:id="rId3" ref="Q18"/>
    <hyperlink r:id="rId4" ref="Q19"/>
    <hyperlink r:id="rId5" ref="Q20"/>
    <hyperlink r:id="rId6" ref="Q21"/>
    <hyperlink r:id="rId7" ref="Q35"/>
    <hyperlink r:id="rId8" ref="Q36"/>
    <hyperlink r:id="rId9" ref="Q37"/>
    <hyperlink r:id="rId10" ref="Q39"/>
    <hyperlink r:id="rId11" ref="Q40"/>
    <hyperlink r:id="rId12" ref="Q41"/>
    <hyperlink r:id="rId13" ref="Q42"/>
    <hyperlink r:id="rId14" ref="Q43"/>
    <hyperlink r:id="rId15" ref="Q44"/>
    <hyperlink r:id="rId16" ref="Q45"/>
    <hyperlink r:id="rId17" ref="Q48"/>
    <hyperlink r:id="rId18" ref="Q49"/>
    <hyperlink r:id="rId19" ref="Q50"/>
    <hyperlink r:id="rId20" ref="Q51"/>
    <hyperlink r:id="rId21" ref="Q52"/>
    <hyperlink r:id="rId22" ref="Q53"/>
    <hyperlink r:id="rId23" ref="Q54"/>
    <hyperlink r:id="rId24" ref="Q55"/>
    <hyperlink r:id="rId25" ref="Q56"/>
    <hyperlink r:id="rId26" ref="Q57"/>
    <hyperlink r:id="rId27" ref="Q58"/>
    <hyperlink r:id="rId28" ref="Q59"/>
    <hyperlink r:id="rId29" ref="Q60"/>
    <hyperlink r:id="rId30" location="_" ref="Q61"/>
    <hyperlink r:id="rId31" ref="Q62"/>
    <hyperlink r:id="rId32" ref="Q63"/>
    <hyperlink r:id="rId33" ref="Q64"/>
    <hyperlink r:id="rId34" ref="Q65"/>
    <hyperlink r:id="rId35" ref="Q66"/>
    <hyperlink r:id="rId36" ref="Q67"/>
    <hyperlink r:id="rId37" ref="Q68"/>
    <hyperlink r:id="rId38" ref="Q69"/>
    <hyperlink r:id="rId39" ref="Q70"/>
    <hyperlink r:id="rId40" ref="Q71"/>
    <hyperlink r:id="rId41" location="_" ref="Q72"/>
    <hyperlink r:id="rId42" ref="Q73"/>
    <hyperlink r:id="rId43" ref="Q74"/>
    <hyperlink r:id="rId44" ref="Q75"/>
    <hyperlink r:id="rId45" ref="Q76"/>
    <hyperlink r:id="rId46" ref="Q77"/>
    <hyperlink r:id="rId47" ref="Q78"/>
    <hyperlink r:id="rId48" ref="Q79"/>
    <hyperlink r:id="rId49" ref="Q84"/>
    <hyperlink r:id="rId50" ref="Q87"/>
    <hyperlink r:id="rId51" ref="Q88"/>
    <hyperlink r:id="rId52" ref="Q89"/>
    <hyperlink r:id="rId53" ref="Q90"/>
    <hyperlink r:id="rId54" ref="Q91"/>
    <hyperlink r:id="rId55" location="_" ref="Q93"/>
    <hyperlink r:id="rId56" location="_" ref="Q94"/>
    <hyperlink r:id="rId57" ref="Q95"/>
    <hyperlink r:id="rId58" ref="Q96"/>
    <hyperlink r:id="rId59" ref="Q97"/>
    <hyperlink r:id="rId60" ref="Q98"/>
    <hyperlink r:id="rId61" ref="Q99"/>
    <hyperlink r:id="rId62" ref="Q100"/>
    <hyperlink r:id="rId63" ref="Q101"/>
    <hyperlink r:id="rId64" ref="Q102"/>
    <hyperlink r:id="rId65" ref="Q103"/>
    <hyperlink r:id="rId66" ref="Q104"/>
    <hyperlink r:id="rId67" ref="Q105"/>
    <hyperlink r:id="rId68" ref="R105"/>
    <hyperlink r:id="rId69" ref="Q106"/>
    <hyperlink r:id="rId70" ref="Q107"/>
    <hyperlink r:id="rId71" ref="Q108"/>
    <hyperlink r:id="rId72" ref="Q109"/>
    <hyperlink r:id="rId73" ref="Q110"/>
    <hyperlink r:id="rId74" ref="Q111"/>
    <hyperlink r:id="rId75" location="_" ref="Q112"/>
    <hyperlink r:id="rId76" ref="Q113"/>
    <hyperlink r:id="rId77" ref="Q114"/>
    <hyperlink r:id="rId78" ref="E115"/>
    <hyperlink r:id="rId79" ref="Q115"/>
    <hyperlink r:id="rId80" ref="Q116"/>
    <hyperlink r:id="rId81" ref="R116"/>
    <hyperlink r:id="rId82" location="availability" ref="Q117"/>
    <hyperlink r:id="rId83" location="availability" ref="Q118"/>
    <hyperlink r:id="rId84" ref="Q119"/>
    <hyperlink r:id="rId85" ref="Q120"/>
    <hyperlink r:id="rId86" ref="Q121"/>
    <hyperlink r:id="rId87" ref="Q122"/>
    <hyperlink r:id="rId88" ref="Q123"/>
    <hyperlink r:id="rId89" ref="Q124"/>
    <hyperlink r:id="rId90" ref="Q125"/>
    <hyperlink r:id="rId91" location="_" ref="Q126"/>
    <hyperlink r:id="rId92" location="_" ref="Q127"/>
    <hyperlink r:id="rId93" location="_" ref="Q128"/>
    <hyperlink r:id="rId94" location="_" ref="Q129"/>
    <hyperlink r:id="rId95" ref="Q130"/>
    <hyperlink r:id="rId96" ref="Q131"/>
    <hyperlink r:id="rId97" ref="Q132"/>
    <hyperlink r:id="rId98" ref="Q133"/>
    <hyperlink r:id="rId99" ref="Q134"/>
    <hyperlink r:id="rId100" ref="Q135"/>
    <hyperlink r:id="rId101" ref="Q136"/>
    <hyperlink r:id="rId102" ref="Q137"/>
    <hyperlink r:id="rId103" ref="Q138"/>
    <hyperlink r:id="rId104" ref="Q139"/>
    <hyperlink r:id="rId105" ref="Q140"/>
    <hyperlink r:id="rId106" ref="Q141"/>
    <hyperlink r:id="rId107" ref="Q142"/>
    <hyperlink r:id="rId108" ref="Q143"/>
    <hyperlink r:id="rId109" location="_" ref="Q144"/>
    <hyperlink r:id="rId110" location="_" ref="Q145"/>
    <hyperlink r:id="rId111" location="_" ref="Q14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67"/>
    <col customWidth="1" min="2" max="2" width="9.89"/>
    <col customWidth="1" min="3" max="3" width="37.78"/>
    <col customWidth="1" min="4" max="4" width="17.89"/>
    <col customWidth="1" min="5" max="5" width="13.33"/>
    <col customWidth="1" min="6" max="6" width="13.22"/>
    <col customWidth="1" min="7" max="7" width="14.22"/>
    <col customWidth="1" min="9" max="9" width="17.89"/>
    <col customWidth="1" min="10" max="10" width="63.44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7"/>
    </row>
    <row r="2">
      <c r="A2" s="10" t="s">
        <v>7</v>
      </c>
      <c r="B2" s="13" t="s">
        <v>9</v>
      </c>
      <c r="C2" s="16" t="s">
        <v>12</v>
      </c>
      <c r="D2" s="16" t="s">
        <v>15</v>
      </c>
      <c r="E2" s="16" t="s">
        <v>14</v>
      </c>
      <c r="F2" s="16" t="s">
        <v>18</v>
      </c>
      <c r="G2" s="16" t="s">
        <v>19</v>
      </c>
      <c r="H2" s="16" t="s">
        <v>21</v>
      </c>
      <c r="I2" s="23" t="s">
        <v>24</v>
      </c>
      <c r="J2" s="25" t="s">
        <v>28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37">
        <v>46284.0</v>
      </c>
      <c r="B3" s="39">
        <v>46287.0</v>
      </c>
      <c r="C3" s="41" t="s">
        <v>39</v>
      </c>
      <c r="D3" s="43">
        <v>6.004927844E9</v>
      </c>
      <c r="E3" s="45">
        <v>584.06</v>
      </c>
      <c r="F3" s="47">
        <v>0.6666666666666666</v>
      </c>
      <c r="G3" s="47">
        <v>0.4583333333333333</v>
      </c>
      <c r="H3" s="43" t="s">
        <v>43</v>
      </c>
      <c r="I3" s="50" t="s">
        <v>45</v>
      </c>
      <c r="J3" s="53" t="s">
        <v>47</v>
      </c>
    </row>
    <row r="4">
      <c r="A4" s="39">
        <v>46287.0</v>
      </c>
      <c r="B4" s="37">
        <v>46288.0</v>
      </c>
      <c r="C4" s="43" t="s">
        <v>49</v>
      </c>
      <c r="D4" s="43" t="s">
        <v>50</v>
      </c>
      <c r="E4" s="45">
        <v>155.98</v>
      </c>
      <c r="F4" s="47">
        <v>0.625</v>
      </c>
      <c r="G4" s="47">
        <v>0.4583333333333333</v>
      </c>
      <c r="H4" s="43" t="s">
        <v>43</v>
      </c>
      <c r="I4" s="50" t="s">
        <v>54</v>
      </c>
      <c r="J4" s="53" t="s">
        <v>55</v>
      </c>
    </row>
    <row r="5">
      <c r="A5" s="37">
        <v>46288.0</v>
      </c>
      <c r="B5" s="39">
        <v>46289.0</v>
      </c>
      <c r="C5" s="43" t="s">
        <v>57</v>
      </c>
      <c r="D5" s="43">
        <v>1.2693981E7</v>
      </c>
      <c r="E5" s="45">
        <v>91.3</v>
      </c>
      <c r="F5" s="47">
        <v>0.625</v>
      </c>
      <c r="G5" s="47">
        <v>0.4583333333333333</v>
      </c>
      <c r="H5" s="43" t="s">
        <v>53</v>
      </c>
      <c r="I5" s="50" t="s">
        <v>63</v>
      </c>
      <c r="J5" s="53" t="s">
        <v>64</v>
      </c>
    </row>
    <row r="6">
      <c r="A6" s="37">
        <v>46289.0</v>
      </c>
      <c r="B6" s="39">
        <v>46290.0</v>
      </c>
      <c r="C6" s="43" t="s">
        <v>66</v>
      </c>
      <c r="D6" s="43">
        <v>5.411636117E9</v>
      </c>
      <c r="E6" s="45">
        <v>161.0</v>
      </c>
      <c r="F6" s="47">
        <v>0.6666666666666666</v>
      </c>
      <c r="G6" s="47">
        <v>0.4583333333333333</v>
      </c>
      <c r="H6" s="43" t="s">
        <v>53</v>
      </c>
      <c r="I6" s="50" t="s">
        <v>68</v>
      </c>
      <c r="J6" s="53" t="s">
        <v>69</v>
      </c>
    </row>
    <row r="7">
      <c r="A7" s="37">
        <v>46290.0</v>
      </c>
      <c r="B7" s="39">
        <v>46293.0</v>
      </c>
      <c r="C7" s="43" t="s">
        <v>70</v>
      </c>
      <c r="D7" s="43" t="s">
        <v>71</v>
      </c>
      <c r="E7" s="45">
        <v>641.0</v>
      </c>
      <c r="F7" s="47">
        <v>0.6666666666666666</v>
      </c>
      <c r="G7" s="47">
        <v>0.4166666666666667</v>
      </c>
      <c r="H7" s="43" t="s">
        <v>53</v>
      </c>
      <c r="I7" s="75" t="s">
        <v>73</v>
      </c>
      <c r="J7" s="53" t="s">
        <v>76</v>
      </c>
    </row>
    <row r="8">
      <c r="A8" s="37">
        <v>46293.0</v>
      </c>
      <c r="B8" s="39">
        <v>46295.0</v>
      </c>
      <c r="C8" s="43" t="s">
        <v>78</v>
      </c>
      <c r="D8" s="43">
        <v>6.248261201E9</v>
      </c>
      <c r="E8" s="45">
        <v>292.0</v>
      </c>
      <c r="F8" s="47">
        <v>0.6666666666666666</v>
      </c>
      <c r="G8" s="47">
        <v>0.4583333333333333</v>
      </c>
      <c r="H8" s="41" t="s">
        <v>43</v>
      </c>
      <c r="I8" s="50" t="s">
        <v>82</v>
      </c>
      <c r="J8" s="53" t="s">
        <v>84</v>
      </c>
      <c r="M8" s="80"/>
    </row>
    <row r="9">
      <c r="A9" s="37">
        <v>46295.0</v>
      </c>
      <c r="B9" s="39">
        <v>46296.0</v>
      </c>
      <c r="C9" s="43" t="s">
        <v>87</v>
      </c>
      <c r="D9" s="43">
        <v>5.72283709E9</v>
      </c>
      <c r="E9" s="45">
        <v>134.0</v>
      </c>
      <c r="F9" s="47">
        <v>0.625</v>
      </c>
      <c r="G9" s="47">
        <v>0.4583333333333333</v>
      </c>
      <c r="H9" s="41" t="s">
        <v>43</v>
      </c>
      <c r="I9" s="50" t="s">
        <v>91</v>
      </c>
      <c r="J9" s="53" t="s">
        <v>92</v>
      </c>
      <c r="M9" s="80"/>
    </row>
    <row r="10">
      <c r="A10" s="37">
        <v>46296.0</v>
      </c>
      <c r="B10" s="39">
        <v>46297.0</v>
      </c>
      <c r="C10" s="43" t="s">
        <v>93</v>
      </c>
      <c r="D10" s="43">
        <v>6.821604479E9</v>
      </c>
      <c r="E10" s="45">
        <v>197.88</v>
      </c>
      <c r="F10" s="47">
        <v>0.6666666666666666</v>
      </c>
      <c r="G10" s="47">
        <v>0.4583333333333333</v>
      </c>
      <c r="H10" s="43" t="s">
        <v>53</v>
      </c>
      <c r="I10" s="50" t="s">
        <v>95</v>
      </c>
      <c r="J10" s="53" t="s">
        <v>96</v>
      </c>
      <c r="M10" s="80"/>
    </row>
    <row r="11">
      <c r="A11" s="37">
        <v>46297.0</v>
      </c>
      <c r="B11" s="39">
        <v>46298.0</v>
      </c>
      <c r="C11" s="43" t="s">
        <v>99</v>
      </c>
      <c r="D11" s="43">
        <v>6.984657657E9</v>
      </c>
      <c r="E11" s="45">
        <v>194.0</v>
      </c>
      <c r="F11" s="47">
        <v>0.6666666666666666</v>
      </c>
      <c r="G11" s="47">
        <v>0.4166666666666667</v>
      </c>
      <c r="H11" s="41" t="s">
        <v>43</v>
      </c>
      <c r="I11" s="50" t="s">
        <v>101</v>
      </c>
      <c r="J11" s="53" t="s">
        <v>103</v>
      </c>
    </row>
    <row r="12">
      <c r="A12" s="37">
        <v>46298.0</v>
      </c>
      <c r="B12" s="39">
        <v>46299.0</v>
      </c>
      <c r="C12" s="43" t="s">
        <v>104</v>
      </c>
      <c r="D12" s="43" t="s">
        <v>106</v>
      </c>
      <c r="E12" s="45">
        <v>333.49</v>
      </c>
      <c r="F12" s="47">
        <v>0.6666666666666666</v>
      </c>
      <c r="G12" s="47">
        <v>0.4583333333333333</v>
      </c>
      <c r="H12" s="43" t="s">
        <v>53</v>
      </c>
      <c r="I12" s="50" t="s">
        <v>107</v>
      </c>
      <c r="J12" s="53" t="s">
        <v>108</v>
      </c>
      <c r="M12" s="80"/>
    </row>
    <row r="13">
      <c r="A13" s="37">
        <v>46299.0</v>
      </c>
      <c r="B13" s="39">
        <v>46300.0</v>
      </c>
      <c r="C13" s="43" t="s">
        <v>109</v>
      </c>
      <c r="D13" s="43">
        <v>2.9639006E7</v>
      </c>
      <c r="E13" s="45">
        <v>138.92</v>
      </c>
      <c r="F13" s="47">
        <v>0.6666666666666666</v>
      </c>
      <c r="G13" s="47">
        <v>0.4583333333333333</v>
      </c>
      <c r="H13" s="41" t="s">
        <v>43</v>
      </c>
      <c r="I13" s="50" t="s">
        <v>113</v>
      </c>
      <c r="J13" s="53" t="s">
        <v>114</v>
      </c>
    </row>
    <row r="14">
      <c r="A14" s="37">
        <v>46300.0</v>
      </c>
      <c r="B14" s="39">
        <v>46301.0</v>
      </c>
      <c r="C14" s="43" t="s">
        <v>115</v>
      </c>
      <c r="D14" s="43">
        <v>8.0799875E7</v>
      </c>
      <c r="E14" s="45">
        <v>265.55</v>
      </c>
      <c r="F14" s="47">
        <v>0.6666666666666666</v>
      </c>
      <c r="G14" s="47">
        <v>0.4583333333333333</v>
      </c>
      <c r="H14" s="43" t="s">
        <v>53</v>
      </c>
      <c r="I14" s="50" t="s">
        <v>116</v>
      </c>
      <c r="J14" s="53" t="s">
        <v>118</v>
      </c>
    </row>
    <row r="15">
      <c r="A15" s="37">
        <v>46301.0</v>
      </c>
      <c r="B15" s="39">
        <v>46304.0</v>
      </c>
      <c r="C15" s="43" t="s">
        <v>122</v>
      </c>
      <c r="D15" s="43">
        <v>5.594993241E9</v>
      </c>
      <c r="E15" s="45">
        <v>744.44</v>
      </c>
      <c r="F15" s="47">
        <v>0.625</v>
      </c>
      <c r="G15" s="47">
        <v>0.4375</v>
      </c>
      <c r="H15" s="43" t="s">
        <v>53</v>
      </c>
      <c r="I15" s="50" t="s">
        <v>125</v>
      </c>
      <c r="J15" s="53" t="s">
        <v>126</v>
      </c>
    </row>
    <row r="16">
      <c r="A16" s="37">
        <v>46304.0</v>
      </c>
      <c r="B16" s="39">
        <v>46306.0</v>
      </c>
      <c r="C16" s="43" t="s">
        <v>128</v>
      </c>
      <c r="D16" s="43" t="s">
        <v>131</v>
      </c>
      <c r="E16" s="45">
        <v>409.0</v>
      </c>
      <c r="F16" s="47">
        <v>0.625</v>
      </c>
      <c r="G16" s="47">
        <v>0.4583333333333333</v>
      </c>
      <c r="H16" s="43" t="s">
        <v>53</v>
      </c>
      <c r="I16" s="50" t="s">
        <v>133</v>
      </c>
      <c r="J16" s="53" t="s">
        <v>136</v>
      </c>
    </row>
    <row r="17">
      <c r="A17" s="37">
        <v>46306.0</v>
      </c>
      <c r="B17" s="39">
        <v>46308.0</v>
      </c>
      <c r="C17" s="43" t="s">
        <v>137</v>
      </c>
      <c r="D17" s="43">
        <v>7.20701515781E13</v>
      </c>
      <c r="E17" s="45">
        <v>407.41</v>
      </c>
      <c r="F17" s="47">
        <v>0.6666666666666666</v>
      </c>
      <c r="G17" s="47">
        <v>0.4583333333333333</v>
      </c>
      <c r="H17" s="43" t="s">
        <v>53</v>
      </c>
      <c r="I17" s="50" t="s">
        <v>142</v>
      </c>
      <c r="J17" s="53" t="s">
        <v>143</v>
      </c>
      <c r="M17" s="103"/>
    </row>
    <row r="18">
      <c r="A18" s="37">
        <v>46308.0</v>
      </c>
      <c r="B18" s="39">
        <v>46310.0</v>
      </c>
      <c r="C18" s="43" t="s">
        <v>146</v>
      </c>
      <c r="D18" s="43">
        <v>5.63874945E9</v>
      </c>
      <c r="E18" s="45">
        <v>544.56</v>
      </c>
      <c r="F18" s="47">
        <v>0.6666666666666666</v>
      </c>
      <c r="G18" s="47">
        <v>0.4583333333333333</v>
      </c>
      <c r="H18" s="43" t="s">
        <v>53</v>
      </c>
      <c r="I18" s="50" t="s">
        <v>150</v>
      </c>
      <c r="J18" s="53" t="s">
        <v>151</v>
      </c>
      <c r="M18" s="103"/>
    </row>
    <row r="19">
      <c r="A19" s="37">
        <v>46310.0</v>
      </c>
      <c r="B19" s="39">
        <v>46312.0</v>
      </c>
      <c r="C19" s="43" t="s">
        <v>156</v>
      </c>
      <c r="D19" s="43">
        <v>5.638746431E9</v>
      </c>
      <c r="E19" s="45">
        <v>266.43</v>
      </c>
      <c r="F19" s="47">
        <v>0.625</v>
      </c>
      <c r="G19" s="47">
        <v>0.4583333333333333</v>
      </c>
      <c r="H19" s="43" t="s">
        <v>53</v>
      </c>
      <c r="I19" s="50" t="s">
        <v>160</v>
      </c>
      <c r="J19" s="53" t="s">
        <v>161</v>
      </c>
    </row>
    <row r="20">
      <c r="A20" s="37">
        <v>46313.0</v>
      </c>
      <c r="B20" s="39">
        <v>46315.0</v>
      </c>
      <c r="C20" s="43" t="s">
        <v>162</v>
      </c>
      <c r="D20" s="43">
        <v>7.0810566E7</v>
      </c>
      <c r="E20" s="45">
        <v>504.7</v>
      </c>
      <c r="F20" s="47">
        <v>0.625</v>
      </c>
      <c r="G20" s="47">
        <v>0.4583333333333333</v>
      </c>
      <c r="H20" s="43" t="s">
        <v>53</v>
      </c>
      <c r="I20" s="50" t="s">
        <v>166</v>
      </c>
      <c r="J20" s="53" t="s">
        <v>167</v>
      </c>
      <c r="M20" s="103"/>
    </row>
    <row r="21">
      <c r="A21" s="39">
        <v>46315.0</v>
      </c>
      <c r="B21" s="39">
        <v>46317.0</v>
      </c>
      <c r="C21" s="125" t="s">
        <v>171</v>
      </c>
      <c r="D21" s="43">
        <v>5.361293748E9</v>
      </c>
      <c r="E21" s="45">
        <v>521.84</v>
      </c>
      <c r="F21" s="47">
        <v>0.625</v>
      </c>
      <c r="G21" s="47">
        <v>0.4583333333333333</v>
      </c>
      <c r="H21" s="43" t="s">
        <v>53</v>
      </c>
      <c r="I21" s="128" t="s">
        <v>175</v>
      </c>
      <c r="J21" s="130" t="s">
        <v>178</v>
      </c>
    </row>
    <row r="22">
      <c r="A22" s="39">
        <v>46317.0</v>
      </c>
      <c r="B22" s="39">
        <v>46320.0</v>
      </c>
      <c r="C22" s="125" t="s">
        <v>181</v>
      </c>
      <c r="D22" s="43">
        <v>37620.0</v>
      </c>
      <c r="E22" s="45">
        <v>1263.34</v>
      </c>
      <c r="F22" s="47">
        <v>0.625</v>
      </c>
      <c r="G22" s="47">
        <v>0.4583333333333333</v>
      </c>
      <c r="H22" s="41" t="s">
        <v>43</v>
      </c>
      <c r="I22" s="128" t="s">
        <v>185</v>
      </c>
      <c r="J22" s="130" t="s">
        <v>187</v>
      </c>
    </row>
    <row r="23">
      <c r="A23" s="39">
        <v>46320.0</v>
      </c>
      <c r="B23" s="39">
        <v>46321.0</v>
      </c>
      <c r="C23" s="125" t="s">
        <v>190</v>
      </c>
      <c r="D23" s="43">
        <v>5.317923311E9</v>
      </c>
      <c r="E23" s="45">
        <v>150.0</v>
      </c>
      <c r="F23" s="47">
        <v>0.625</v>
      </c>
      <c r="G23" s="47">
        <v>0.4583333333333333</v>
      </c>
      <c r="H23" s="43" t="s">
        <v>53</v>
      </c>
      <c r="I23" s="128" t="s">
        <v>194</v>
      </c>
      <c r="J23" s="130" t="s">
        <v>195</v>
      </c>
    </row>
    <row r="24">
      <c r="A24" s="37">
        <v>46321.0</v>
      </c>
      <c r="B24" s="39">
        <v>46324.0</v>
      </c>
      <c r="C24" s="125" t="s">
        <v>198</v>
      </c>
      <c r="D24" s="43">
        <v>6.755476861E9</v>
      </c>
      <c r="E24" s="45">
        <v>477.01</v>
      </c>
      <c r="F24" s="47">
        <v>0.5833333333333334</v>
      </c>
      <c r="G24" s="47">
        <v>0.4166666666666667</v>
      </c>
      <c r="H24" s="43" t="s">
        <v>53</v>
      </c>
      <c r="I24" s="128" t="s">
        <v>201</v>
      </c>
      <c r="J24" s="130" t="s">
        <v>204</v>
      </c>
    </row>
    <row r="25">
      <c r="A25" s="39">
        <v>46324.0</v>
      </c>
      <c r="B25" s="37">
        <v>46327.0</v>
      </c>
      <c r="C25" s="125" t="s">
        <v>205</v>
      </c>
      <c r="D25" s="43" t="s">
        <v>206</v>
      </c>
      <c r="E25" s="45">
        <v>530.0</v>
      </c>
      <c r="F25" s="47">
        <v>0.625</v>
      </c>
      <c r="G25" s="47">
        <v>0.4166666666666667</v>
      </c>
      <c r="H25" s="43" t="s">
        <v>53</v>
      </c>
      <c r="I25" s="136" t="s">
        <v>73</v>
      </c>
      <c r="J25" s="130" t="s">
        <v>209</v>
      </c>
    </row>
    <row r="26">
      <c r="A26" s="37">
        <v>46327.0</v>
      </c>
      <c r="B26" s="39">
        <v>46328.0</v>
      </c>
      <c r="C26" s="125" t="s">
        <v>212</v>
      </c>
      <c r="D26" s="43">
        <v>6.766283993E9</v>
      </c>
      <c r="E26" s="45">
        <v>175.69</v>
      </c>
      <c r="F26" s="47">
        <v>0.5833333333333334</v>
      </c>
      <c r="G26" s="47">
        <v>0.4166666666666667</v>
      </c>
      <c r="H26" s="43" t="s">
        <v>53</v>
      </c>
      <c r="I26" s="128" t="s">
        <v>215</v>
      </c>
      <c r="J26" s="130" t="s">
        <v>216</v>
      </c>
      <c r="M26" s="80"/>
    </row>
    <row r="27">
      <c r="A27" s="39">
        <v>46328.0</v>
      </c>
      <c r="B27" s="39">
        <v>46330.0</v>
      </c>
      <c r="C27" s="125" t="s">
        <v>217</v>
      </c>
      <c r="D27" s="43" t="s">
        <v>219</v>
      </c>
      <c r="E27" s="45">
        <v>247.65</v>
      </c>
      <c r="F27" s="47">
        <v>0.625</v>
      </c>
      <c r="G27" s="47">
        <v>0.4166666666666667</v>
      </c>
      <c r="H27" s="43" t="s">
        <v>53</v>
      </c>
      <c r="I27" s="136" t="s">
        <v>73</v>
      </c>
      <c r="J27" s="130" t="s">
        <v>228</v>
      </c>
    </row>
    <row r="28">
      <c r="A28" s="39">
        <v>46330.0</v>
      </c>
      <c r="B28" s="37">
        <v>46332.0</v>
      </c>
      <c r="C28" s="125" t="s">
        <v>231</v>
      </c>
      <c r="D28" s="43">
        <v>5.045905618E9</v>
      </c>
      <c r="E28" s="45">
        <v>383.45</v>
      </c>
      <c r="F28" s="47">
        <v>0.625</v>
      </c>
      <c r="G28" s="47">
        <v>0.4166666666666667</v>
      </c>
      <c r="H28" s="43" t="s">
        <v>53</v>
      </c>
      <c r="I28" s="128" t="s">
        <v>234</v>
      </c>
      <c r="J28" s="130" t="s">
        <v>235</v>
      </c>
      <c r="M28" s="103"/>
    </row>
    <row r="29">
      <c r="A29" s="37">
        <v>46332.0</v>
      </c>
      <c r="B29" s="39">
        <v>46334.0</v>
      </c>
      <c r="C29" s="125" t="s">
        <v>236</v>
      </c>
      <c r="D29" s="43">
        <v>562738.0</v>
      </c>
      <c r="E29" s="45">
        <v>379.53</v>
      </c>
      <c r="F29" s="47">
        <v>0.5833333333333334</v>
      </c>
      <c r="G29" s="47">
        <v>0.4166666666666667</v>
      </c>
      <c r="H29" s="153" t="s">
        <v>43</v>
      </c>
      <c r="I29" s="128" t="s">
        <v>240</v>
      </c>
      <c r="J29" s="130" t="s">
        <v>241</v>
      </c>
    </row>
    <row r="30">
      <c r="A30" s="37">
        <v>46334.0</v>
      </c>
      <c r="B30" s="39">
        <v>46341.0</v>
      </c>
      <c r="C30" s="125" t="s">
        <v>246</v>
      </c>
      <c r="D30" s="43" t="s">
        <v>247</v>
      </c>
      <c r="E30" s="45">
        <v>898.39</v>
      </c>
      <c r="F30" s="47">
        <v>0.5833333333333334</v>
      </c>
      <c r="G30" s="47">
        <v>0.4166666666666667</v>
      </c>
      <c r="H30" s="43" t="s">
        <v>53</v>
      </c>
      <c r="I30" s="136" t="s">
        <v>73</v>
      </c>
      <c r="J30" s="130" t="s">
        <v>250</v>
      </c>
    </row>
    <row r="31">
      <c r="A31" s="37">
        <v>46341.0</v>
      </c>
      <c r="B31" s="39">
        <v>46342.0</v>
      </c>
      <c r="C31" s="125" t="s">
        <v>252</v>
      </c>
      <c r="D31" s="43">
        <v>5.293053886E9</v>
      </c>
      <c r="E31" s="45">
        <v>137.73</v>
      </c>
      <c r="F31" s="47">
        <v>0.5833333333333334</v>
      </c>
      <c r="G31" s="47">
        <v>0.4166666666666667</v>
      </c>
      <c r="H31" s="43" t="s">
        <v>53</v>
      </c>
      <c r="I31" s="128" t="s">
        <v>255</v>
      </c>
      <c r="J31" s="130" t="s">
        <v>257</v>
      </c>
      <c r="M31" s="103"/>
    </row>
    <row r="32">
      <c r="A32" s="37">
        <v>46342.0</v>
      </c>
      <c r="B32" s="39">
        <v>46343.0</v>
      </c>
      <c r="C32" s="125" t="s">
        <v>259</v>
      </c>
      <c r="D32" s="43">
        <v>6.645797482E9</v>
      </c>
      <c r="E32" s="45">
        <v>128.55</v>
      </c>
      <c r="F32" s="47">
        <v>0.5833333333333334</v>
      </c>
      <c r="G32" s="47">
        <v>0.4166666666666667</v>
      </c>
      <c r="H32" s="43" t="s">
        <v>53</v>
      </c>
      <c r="I32" s="128" t="s">
        <v>262</v>
      </c>
      <c r="J32" s="130" t="s">
        <v>263</v>
      </c>
    </row>
    <row r="33">
      <c r="A33" s="37">
        <v>46343.0</v>
      </c>
      <c r="B33" s="39">
        <v>46344.0</v>
      </c>
      <c r="C33" s="125" t="s">
        <v>267</v>
      </c>
      <c r="D33" s="43">
        <v>6.81762565E9</v>
      </c>
      <c r="E33" s="45">
        <v>114.0</v>
      </c>
      <c r="F33" s="47">
        <v>0.5833333333333334</v>
      </c>
      <c r="G33" s="47">
        <v>0.4166666666666667</v>
      </c>
      <c r="H33" s="43" t="s">
        <v>53</v>
      </c>
      <c r="I33" s="128" t="s">
        <v>268</v>
      </c>
      <c r="J33" s="130" t="s">
        <v>270</v>
      </c>
    </row>
    <row r="34">
      <c r="A34" s="37">
        <v>46344.0</v>
      </c>
      <c r="B34" s="39">
        <v>46348.0</v>
      </c>
      <c r="C34" s="125" t="s">
        <v>271</v>
      </c>
      <c r="D34" s="43" t="s">
        <v>274</v>
      </c>
      <c r="E34" s="45">
        <v>984.0</v>
      </c>
      <c r="F34" s="47">
        <v>0.625</v>
      </c>
      <c r="G34" s="47">
        <v>0.4166666666666667</v>
      </c>
      <c r="H34" s="43" t="s">
        <v>53</v>
      </c>
      <c r="I34" s="136" t="s">
        <v>73</v>
      </c>
      <c r="J34" s="130" t="s">
        <v>276</v>
      </c>
    </row>
    <row r="35">
      <c r="A35" s="37">
        <v>46348.0</v>
      </c>
      <c r="B35" s="39">
        <v>46351.0</v>
      </c>
      <c r="C35" s="125" t="s">
        <v>278</v>
      </c>
      <c r="D35" s="43">
        <v>409217.0</v>
      </c>
      <c r="E35" s="45">
        <v>446.87</v>
      </c>
      <c r="F35" s="47">
        <v>0.5833333333333334</v>
      </c>
      <c r="G35" s="47">
        <v>0.4166666666666667</v>
      </c>
      <c r="H35" s="43" t="s">
        <v>53</v>
      </c>
      <c r="I35" s="128" t="s">
        <v>284</v>
      </c>
      <c r="J35" s="130" t="s">
        <v>285</v>
      </c>
    </row>
    <row r="36">
      <c r="A36" s="37">
        <v>46351.0</v>
      </c>
      <c r="B36" s="39">
        <v>46353.0</v>
      </c>
      <c r="C36" s="125" t="s">
        <v>287</v>
      </c>
      <c r="D36" s="43" t="s">
        <v>289</v>
      </c>
      <c r="E36" s="45">
        <v>230.14</v>
      </c>
      <c r="F36" s="47">
        <v>0.5833333333333334</v>
      </c>
      <c r="G36" s="47">
        <v>0.4166666666666667</v>
      </c>
      <c r="H36" s="43" t="s">
        <v>53</v>
      </c>
      <c r="I36" s="128" t="s">
        <v>293</v>
      </c>
      <c r="J36" s="130" t="s">
        <v>294</v>
      </c>
    </row>
    <row r="37">
      <c r="A37" s="37">
        <v>46353.0</v>
      </c>
      <c r="B37" s="39">
        <v>46354.0</v>
      </c>
      <c r="C37" s="125" t="s">
        <v>296</v>
      </c>
      <c r="D37" s="43" t="s">
        <v>297</v>
      </c>
      <c r="E37" s="45">
        <v>137.86</v>
      </c>
      <c r="F37" s="47">
        <v>0.5833333333333334</v>
      </c>
      <c r="G37" s="47">
        <v>0.4166666666666667</v>
      </c>
      <c r="H37" s="43" t="s">
        <v>53</v>
      </c>
      <c r="I37" s="128" t="s">
        <v>298</v>
      </c>
      <c r="J37" s="130" t="s">
        <v>299</v>
      </c>
    </row>
    <row r="38">
      <c r="A38" s="37">
        <v>46354.0</v>
      </c>
      <c r="B38" s="39">
        <v>46355.0</v>
      </c>
      <c r="C38" s="125" t="s">
        <v>303</v>
      </c>
      <c r="D38" s="43">
        <v>6.218660708E9</v>
      </c>
      <c r="E38" s="45">
        <v>145.17</v>
      </c>
      <c r="F38" s="47">
        <v>0.5833333333333334</v>
      </c>
      <c r="G38" s="47">
        <v>0.4166666666666667</v>
      </c>
      <c r="H38" s="43" t="s">
        <v>53</v>
      </c>
      <c r="I38" s="128" t="s">
        <v>306</v>
      </c>
      <c r="J38" s="130" t="s">
        <v>308</v>
      </c>
    </row>
    <row r="39">
      <c r="A39" s="37">
        <v>46355.0</v>
      </c>
      <c r="B39" s="39">
        <v>46357.0</v>
      </c>
      <c r="C39" s="125" t="s">
        <v>312</v>
      </c>
      <c r="D39" s="43">
        <v>1.6014854E7</v>
      </c>
      <c r="E39" s="45">
        <v>438.14</v>
      </c>
      <c r="F39" s="47">
        <v>0.5833333333333334</v>
      </c>
      <c r="G39" s="47">
        <v>0.4166666666666667</v>
      </c>
      <c r="H39" s="43" t="s">
        <v>53</v>
      </c>
      <c r="I39" s="128" t="s">
        <v>315</v>
      </c>
      <c r="J39" s="130" t="s">
        <v>316</v>
      </c>
    </row>
    <row r="40">
      <c r="A40" s="37">
        <v>46357.0</v>
      </c>
      <c r="B40" s="39">
        <v>46360.0</v>
      </c>
      <c r="C40" s="125" t="s">
        <v>319</v>
      </c>
      <c r="D40" s="43">
        <v>3218364.0</v>
      </c>
      <c r="E40" s="45">
        <v>332.21</v>
      </c>
      <c r="F40" s="47">
        <v>0.5833333333333334</v>
      </c>
      <c r="G40" s="47">
        <v>0.4166666666666667</v>
      </c>
      <c r="H40" s="43" t="s">
        <v>53</v>
      </c>
      <c r="I40" s="128" t="s">
        <v>321</v>
      </c>
      <c r="J40" s="130" t="s">
        <v>324</v>
      </c>
    </row>
    <row r="41">
      <c r="A41" s="37">
        <v>46360.0</v>
      </c>
      <c r="B41" s="39">
        <v>46362.0</v>
      </c>
      <c r="C41" s="125" t="s">
        <v>326</v>
      </c>
      <c r="D41" s="43">
        <v>7.4285295E7</v>
      </c>
      <c r="E41" s="45">
        <v>312.67</v>
      </c>
      <c r="F41" s="47">
        <v>0.625</v>
      </c>
      <c r="G41" s="47">
        <v>0.4166666666666667</v>
      </c>
      <c r="H41" s="43" t="s">
        <v>53</v>
      </c>
      <c r="I41" s="128" t="s">
        <v>328</v>
      </c>
      <c r="J41" s="130" t="s">
        <v>329</v>
      </c>
    </row>
    <row r="42">
      <c r="A42" s="37">
        <v>46362.0</v>
      </c>
      <c r="B42" s="39">
        <v>46366.0</v>
      </c>
      <c r="C42" s="125" t="s">
        <v>333</v>
      </c>
      <c r="D42" s="43">
        <v>0.0</v>
      </c>
      <c r="E42" s="45">
        <v>0.0</v>
      </c>
      <c r="F42" s="47">
        <v>0.4166666666666667</v>
      </c>
      <c r="G42" s="47">
        <v>0.4583333333333333</v>
      </c>
      <c r="H42" s="153" t="s">
        <v>43</v>
      </c>
      <c r="I42" s="128" t="s">
        <v>336</v>
      </c>
      <c r="J42" s="130" t="s">
        <v>337</v>
      </c>
      <c r="K42" s="182"/>
    </row>
    <row r="43">
      <c r="A43" s="37">
        <v>46366.0</v>
      </c>
      <c r="B43" s="39">
        <v>46369.0</v>
      </c>
      <c r="C43" s="125" t="s">
        <v>340</v>
      </c>
      <c r="D43" s="43" t="s">
        <v>342</v>
      </c>
      <c r="E43" s="45">
        <v>513.59</v>
      </c>
      <c r="F43" s="47">
        <v>0.625</v>
      </c>
      <c r="G43" s="47">
        <v>0.4583333333333333</v>
      </c>
      <c r="H43" s="43" t="s">
        <v>53</v>
      </c>
      <c r="I43" s="136" t="s">
        <v>73</v>
      </c>
      <c r="J43" s="130" t="s">
        <v>345</v>
      </c>
      <c r="M43" s="103"/>
    </row>
    <row r="44">
      <c r="A44" s="39">
        <v>46369.0</v>
      </c>
      <c r="B44" s="37">
        <v>46372.0</v>
      </c>
      <c r="C44" s="125" t="s">
        <v>348</v>
      </c>
      <c r="D44" s="43">
        <v>5.217361899E9</v>
      </c>
      <c r="E44" s="45">
        <v>337.47</v>
      </c>
      <c r="F44" s="47">
        <v>0.5833333333333334</v>
      </c>
      <c r="G44" s="47">
        <v>0.4166666666666667</v>
      </c>
      <c r="H44" s="43" t="s">
        <v>53</v>
      </c>
      <c r="I44" s="136" t="s">
        <v>73</v>
      </c>
      <c r="J44" s="130" t="s">
        <v>352</v>
      </c>
      <c r="M44" s="103"/>
    </row>
    <row r="45">
      <c r="A45" s="37">
        <v>46372.0</v>
      </c>
      <c r="B45" s="39">
        <v>46373.0</v>
      </c>
      <c r="C45" s="125" t="s">
        <v>353</v>
      </c>
      <c r="D45" s="43">
        <v>5.698108945E9</v>
      </c>
      <c r="E45" s="45">
        <v>205.97</v>
      </c>
      <c r="F45" s="47">
        <v>0.5833333333333334</v>
      </c>
      <c r="G45" s="47">
        <v>0.4166666666666667</v>
      </c>
      <c r="H45" s="43" t="s">
        <v>53</v>
      </c>
      <c r="I45" s="128" t="s">
        <v>355</v>
      </c>
      <c r="J45" s="130" t="s">
        <v>356</v>
      </c>
      <c r="M45" s="103"/>
    </row>
    <row r="46">
      <c r="A46" s="37">
        <v>46373.0</v>
      </c>
      <c r="B46" s="39">
        <v>46374.0</v>
      </c>
      <c r="C46" s="125" t="s">
        <v>359</v>
      </c>
      <c r="D46" s="43" t="s">
        <v>360</v>
      </c>
      <c r="E46" s="45">
        <v>256.8</v>
      </c>
      <c r="F46" s="47">
        <v>0.625</v>
      </c>
      <c r="G46" s="47">
        <v>0.4166666666666667</v>
      </c>
      <c r="H46" s="153" t="s">
        <v>43</v>
      </c>
      <c r="I46" s="128" t="s">
        <v>362</v>
      </c>
      <c r="J46" s="130" t="s">
        <v>363</v>
      </c>
    </row>
    <row r="47">
      <c r="A47" s="37">
        <v>46374.0</v>
      </c>
      <c r="B47" s="39">
        <v>46375.0</v>
      </c>
      <c r="C47" s="125" t="s">
        <v>367</v>
      </c>
      <c r="D47" s="43"/>
      <c r="E47" s="45">
        <v>131.0</v>
      </c>
      <c r="F47" s="47">
        <v>0.625</v>
      </c>
      <c r="G47" s="47">
        <v>0.4166666666666667</v>
      </c>
      <c r="H47" s="153" t="s">
        <v>43</v>
      </c>
      <c r="I47" s="128" t="s">
        <v>370</v>
      </c>
      <c r="J47" s="130" t="s">
        <v>371</v>
      </c>
    </row>
    <row r="48">
      <c r="A48" s="37">
        <v>46375.0</v>
      </c>
      <c r="B48" s="39">
        <v>46377.0</v>
      </c>
      <c r="C48" s="125" t="s">
        <v>373</v>
      </c>
      <c r="D48" s="43">
        <v>6.302493913E9</v>
      </c>
      <c r="E48" s="45">
        <v>283.79</v>
      </c>
      <c r="F48" s="47">
        <v>0.5833333333333334</v>
      </c>
      <c r="G48" s="47">
        <v>0.4166666666666667</v>
      </c>
      <c r="H48" s="43" t="s">
        <v>53</v>
      </c>
      <c r="I48" s="128" t="s">
        <v>378</v>
      </c>
      <c r="J48" s="130" t="s">
        <v>379</v>
      </c>
    </row>
    <row r="49">
      <c r="A49" s="37">
        <v>46377.0</v>
      </c>
      <c r="B49" s="39">
        <v>46379.0</v>
      </c>
      <c r="C49" s="125" t="s">
        <v>380</v>
      </c>
      <c r="D49" s="43">
        <v>3103778.0</v>
      </c>
      <c r="E49" s="45">
        <v>326.1</v>
      </c>
      <c r="F49" s="47">
        <v>0.625</v>
      </c>
      <c r="G49" s="47">
        <v>0.4166666666666667</v>
      </c>
      <c r="H49" s="43" t="s">
        <v>53</v>
      </c>
      <c r="I49" s="128" t="s">
        <v>382</v>
      </c>
      <c r="J49" s="130" t="s">
        <v>384</v>
      </c>
    </row>
    <row r="50">
      <c r="A50" s="37">
        <v>46379.0</v>
      </c>
      <c r="B50" s="39">
        <v>46381.0</v>
      </c>
      <c r="C50" s="125" t="s">
        <v>386</v>
      </c>
      <c r="D50" s="43">
        <v>5.500411767E9</v>
      </c>
      <c r="E50" s="45">
        <v>324.06</v>
      </c>
      <c r="F50" s="47">
        <v>0.625</v>
      </c>
      <c r="G50" s="47">
        <v>0.4166666666666667</v>
      </c>
      <c r="H50" s="43" t="s">
        <v>53</v>
      </c>
      <c r="I50" s="136" t="s">
        <v>73</v>
      </c>
      <c r="J50" s="130" t="s">
        <v>389</v>
      </c>
    </row>
    <row r="51">
      <c r="A51" s="37">
        <v>46381.0</v>
      </c>
      <c r="B51" s="39">
        <v>46383.0</v>
      </c>
      <c r="C51" s="125" t="s">
        <v>391</v>
      </c>
      <c r="D51" s="43" t="s">
        <v>392</v>
      </c>
      <c r="E51" s="45">
        <v>203.81</v>
      </c>
      <c r="F51" s="47">
        <v>0.625</v>
      </c>
      <c r="G51" s="47">
        <v>0.4166666666666667</v>
      </c>
      <c r="H51" s="43" t="s">
        <v>53</v>
      </c>
      <c r="I51" s="128" t="s">
        <v>394</v>
      </c>
      <c r="J51" s="130" t="s">
        <v>396</v>
      </c>
    </row>
    <row r="52">
      <c r="A52" s="37">
        <v>46383.0</v>
      </c>
      <c r="B52" s="39">
        <v>46384.0</v>
      </c>
      <c r="C52" s="125" t="s">
        <v>397</v>
      </c>
      <c r="D52" s="43">
        <v>6.245102037E9</v>
      </c>
      <c r="E52" s="45">
        <v>155.41</v>
      </c>
      <c r="F52" s="47">
        <v>0.625</v>
      </c>
      <c r="G52" s="47">
        <v>0.4166666666666667</v>
      </c>
      <c r="H52" s="43" t="s">
        <v>53</v>
      </c>
      <c r="I52" s="128" t="s">
        <v>398</v>
      </c>
      <c r="J52" s="130" t="s">
        <v>399</v>
      </c>
    </row>
    <row r="53">
      <c r="A53" s="37">
        <v>46384.0</v>
      </c>
      <c r="B53" s="39">
        <v>46387.0</v>
      </c>
      <c r="C53" s="125" t="s">
        <v>400</v>
      </c>
      <c r="D53" s="43">
        <v>1.77090555186659E14</v>
      </c>
      <c r="E53" s="45">
        <v>502.9</v>
      </c>
      <c r="F53" s="47">
        <v>0.625</v>
      </c>
      <c r="G53" s="47">
        <v>0.4166666666666667</v>
      </c>
      <c r="H53" s="43" t="s">
        <v>53</v>
      </c>
      <c r="I53" s="128" t="s">
        <v>403</v>
      </c>
      <c r="J53" s="130" t="s">
        <v>404</v>
      </c>
    </row>
    <row r="54">
      <c r="A54" s="37">
        <v>46387.0</v>
      </c>
      <c r="B54" s="39">
        <v>46389.0</v>
      </c>
      <c r="C54" s="125" t="s">
        <v>406</v>
      </c>
      <c r="D54" s="43">
        <v>6.258080939E9</v>
      </c>
      <c r="E54" s="45">
        <v>278.2</v>
      </c>
      <c r="F54" s="47">
        <v>0.625</v>
      </c>
      <c r="G54" s="47">
        <v>0.4166666666666667</v>
      </c>
      <c r="H54" s="43" t="s">
        <v>53</v>
      </c>
      <c r="I54" s="136" t="s">
        <v>73</v>
      </c>
      <c r="J54" s="130" t="s">
        <v>407</v>
      </c>
    </row>
    <row r="55">
      <c r="A55" s="37">
        <v>46389.0</v>
      </c>
      <c r="B55" s="39">
        <v>46390.0</v>
      </c>
      <c r="C55" s="125" t="s">
        <v>410</v>
      </c>
      <c r="D55" s="43">
        <v>1.2036833E7</v>
      </c>
      <c r="E55" s="45">
        <v>147.25</v>
      </c>
      <c r="F55" s="47">
        <v>0.625</v>
      </c>
      <c r="G55" s="47">
        <v>0.4166666666666667</v>
      </c>
      <c r="H55" s="43" t="s">
        <v>53</v>
      </c>
      <c r="I55" s="128" t="s">
        <v>412</v>
      </c>
      <c r="J55" s="130" t="s">
        <v>413</v>
      </c>
    </row>
    <row r="56">
      <c r="A56" s="37">
        <v>46390.0</v>
      </c>
      <c r="B56" s="39">
        <v>46392.0</v>
      </c>
      <c r="C56" s="125" t="s">
        <v>414</v>
      </c>
      <c r="D56" s="43" t="s">
        <v>416</v>
      </c>
      <c r="E56" s="45">
        <v>237.55</v>
      </c>
      <c r="F56" s="47">
        <v>0.625</v>
      </c>
      <c r="G56" s="47">
        <v>0.4166666666666667</v>
      </c>
      <c r="H56" s="43" t="s">
        <v>53</v>
      </c>
      <c r="I56" s="136" t="s">
        <v>73</v>
      </c>
      <c r="J56" s="130" t="s">
        <v>420</v>
      </c>
    </row>
    <row r="57">
      <c r="A57" s="37">
        <v>46392.0</v>
      </c>
      <c r="B57" s="39">
        <v>46394.0</v>
      </c>
      <c r="C57" s="125" t="s">
        <v>421</v>
      </c>
      <c r="D57" s="43">
        <v>6.65937232E9</v>
      </c>
      <c r="E57" s="45">
        <v>365.03</v>
      </c>
      <c r="F57" s="47">
        <v>0.5833333333333334</v>
      </c>
      <c r="G57" s="47">
        <v>0.4166666666666667</v>
      </c>
      <c r="H57" s="153" t="s">
        <v>43</v>
      </c>
      <c r="I57" s="128" t="s">
        <v>423</v>
      </c>
      <c r="J57" s="130" t="s">
        <v>424</v>
      </c>
      <c r="M57" s="103"/>
    </row>
    <row r="58">
      <c r="A58" s="39">
        <v>46394.0</v>
      </c>
      <c r="B58" s="37">
        <v>46395.0</v>
      </c>
      <c r="C58" s="125" t="s">
        <v>426</v>
      </c>
      <c r="D58" s="43">
        <v>5.099658178E9</v>
      </c>
      <c r="E58" s="45">
        <v>139.45</v>
      </c>
      <c r="F58" s="47">
        <v>0.5833333333333334</v>
      </c>
      <c r="G58" s="47">
        <v>0.4166666666666667</v>
      </c>
      <c r="H58" s="43" t="s">
        <v>53</v>
      </c>
      <c r="I58" s="128" t="s">
        <v>429</v>
      </c>
      <c r="J58" s="130" t="s">
        <v>430</v>
      </c>
    </row>
    <row r="59">
      <c r="A59" s="37">
        <v>46395.0</v>
      </c>
      <c r="B59" s="39">
        <v>46399.0</v>
      </c>
      <c r="C59" s="125" t="s">
        <v>431</v>
      </c>
      <c r="D59" s="43">
        <v>6.354656702E9</v>
      </c>
      <c r="E59" s="45">
        <v>794.86</v>
      </c>
      <c r="F59" s="47">
        <v>0.5833333333333334</v>
      </c>
      <c r="G59" s="47">
        <v>0.4166666666666667</v>
      </c>
      <c r="H59" s="43" t="s">
        <v>53</v>
      </c>
      <c r="I59" s="128" t="s">
        <v>434</v>
      </c>
      <c r="J59" s="130" t="s">
        <v>435</v>
      </c>
      <c r="M59" s="103"/>
    </row>
    <row r="60">
      <c r="A60" s="37">
        <v>46399.0</v>
      </c>
      <c r="B60" s="39">
        <v>46401.0</v>
      </c>
      <c r="C60" s="125" t="s">
        <v>437</v>
      </c>
      <c r="D60" s="43">
        <v>6.199742293E9</v>
      </c>
      <c r="E60" s="45">
        <v>310.05</v>
      </c>
      <c r="F60" s="47">
        <v>0.5833333333333334</v>
      </c>
      <c r="G60" s="47">
        <v>0.4166666666666667</v>
      </c>
      <c r="H60" s="43" t="s">
        <v>53</v>
      </c>
      <c r="I60" s="128" t="s">
        <v>438</v>
      </c>
      <c r="J60" s="130" t="s">
        <v>439</v>
      </c>
    </row>
    <row r="61">
      <c r="A61" s="37">
        <v>46401.0</v>
      </c>
      <c r="B61" s="39">
        <v>46406.0</v>
      </c>
      <c r="C61" s="125" t="s">
        <v>440</v>
      </c>
      <c r="D61" s="43">
        <v>3122788.0</v>
      </c>
      <c r="E61" s="45">
        <v>1031.79</v>
      </c>
      <c r="F61" s="47">
        <v>0.625</v>
      </c>
      <c r="G61" s="47">
        <v>0.4166666666666667</v>
      </c>
      <c r="H61" s="43" t="s">
        <v>53</v>
      </c>
      <c r="I61" s="128" t="s">
        <v>443</v>
      </c>
      <c r="J61" s="130" t="s">
        <v>444</v>
      </c>
    </row>
    <row r="62">
      <c r="A62" s="39">
        <v>46406.0</v>
      </c>
      <c r="B62" s="39">
        <v>46408.0</v>
      </c>
      <c r="C62" s="125" t="s">
        <v>447</v>
      </c>
      <c r="D62" s="43">
        <v>5.516542081E9</v>
      </c>
      <c r="E62" s="45">
        <v>216.26</v>
      </c>
      <c r="F62" s="47">
        <v>0.625</v>
      </c>
      <c r="G62" s="47">
        <v>0.4166666666666667</v>
      </c>
      <c r="H62" s="43" t="s">
        <v>53</v>
      </c>
      <c r="I62" s="128" t="s">
        <v>448</v>
      </c>
      <c r="J62" s="130" t="s">
        <v>449</v>
      </c>
    </row>
    <row r="63">
      <c r="A63" s="39">
        <v>46408.0</v>
      </c>
      <c r="B63" s="39">
        <v>46412.0</v>
      </c>
      <c r="C63" s="125" t="s">
        <v>452</v>
      </c>
      <c r="D63" s="43">
        <v>6.968451239E9</v>
      </c>
      <c r="E63" s="45">
        <v>897.64</v>
      </c>
      <c r="F63" s="47">
        <v>0.625</v>
      </c>
      <c r="G63" s="47">
        <v>0.4166666666666667</v>
      </c>
      <c r="H63" s="153" t="s">
        <v>43</v>
      </c>
      <c r="I63" s="128" t="s">
        <v>456</v>
      </c>
      <c r="J63" s="130" t="s">
        <v>457</v>
      </c>
    </row>
    <row r="64">
      <c r="A64" s="39">
        <v>46412.0</v>
      </c>
      <c r="B64" s="39">
        <v>46416.0</v>
      </c>
      <c r="C64" s="125" t="s">
        <v>459</v>
      </c>
      <c r="D64" s="43" t="s">
        <v>460</v>
      </c>
      <c r="E64" s="45">
        <v>870.3</v>
      </c>
      <c r="F64" s="47">
        <v>0.625</v>
      </c>
      <c r="G64" s="47">
        <v>0.4166666666666667</v>
      </c>
      <c r="H64" s="153" t="s">
        <v>43</v>
      </c>
      <c r="I64" s="128" t="s">
        <v>463</v>
      </c>
      <c r="J64" s="130" t="s">
        <v>464</v>
      </c>
    </row>
    <row r="65">
      <c r="A65" s="39">
        <v>46416.0</v>
      </c>
      <c r="B65" s="39">
        <v>46419.0</v>
      </c>
      <c r="C65" s="125" t="s">
        <v>467</v>
      </c>
      <c r="D65" s="43" t="s">
        <v>468</v>
      </c>
      <c r="E65" s="45">
        <v>447.61</v>
      </c>
      <c r="F65" s="47">
        <v>0.625</v>
      </c>
      <c r="G65" s="47">
        <v>0.4166666666666667</v>
      </c>
      <c r="H65" s="153" t="s">
        <v>43</v>
      </c>
      <c r="I65" s="128" t="s">
        <v>469</v>
      </c>
      <c r="J65" s="130" t="s">
        <v>470</v>
      </c>
    </row>
    <row r="66">
      <c r="A66" s="39">
        <v>46419.0</v>
      </c>
      <c r="B66" s="39">
        <v>46424.0</v>
      </c>
      <c r="C66" s="125" t="s">
        <v>472</v>
      </c>
      <c r="D66" s="43">
        <v>1007.0</v>
      </c>
      <c r="E66" s="45">
        <v>688.43</v>
      </c>
      <c r="F66" s="47">
        <v>0.625</v>
      </c>
      <c r="G66" s="47">
        <v>0.4166666666666667</v>
      </c>
      <c r="H66" s="43" t="s">
        <v>53</v>
      </c>
      <c r="I66" s="128" t="s">
        <v>476</v>
      </c>
      <c r="J66" s="130" t="s">
        <v>477</v>
      </c>
    </row>
    <row r="67">
      <c r="A67" s="39">
        <v>46424.0</v>
      </c>
      <c r="B67" s="39">
        <v>46426.0</v>
      </c>
      <c r="C67" s="125" t="s">
        <v>478</v>
      </c>
      <c r="D67" s="43">
        <v>5.275629477E9</v>
      </c>
      <c r="E67" s="45">
        <v>292.65</v>
      </c>
      <c r="F67" s="47">
        <v>0.625</v>
      </c>
      <c r="G67" s="47">
        <v>0.4166666666666667</v>
      </c>
      <c r="H67" s="153" t="s">
        <v>43</v>
      </c>
      <c r="I67" s="128" t="s">
        <v>482</v>
      </c>
      <c r="J67" s="130" t="s">
        <v>483</v>
      </c>
    </row>
    <row r="68">
      <c r="A68" s="39">
        <v>46426.0</v>
      </c>
      <c r="B68" s="39">
        <v>46429.0</v>
      </c>
      <c r="C68" s="125" t="s">
        <v>484</v>
      </c>
      <c r="D68" s="43">
        <v>5.808883659E9</v>
      </c>
      <c r="E68" s="45">
        <v>491.15</v>
      </c>
      <c r="F68" s="47">
        <v>0.625</v>
      </c>
      <c r="G68" s="47">
        <v>0.4166666666666667</v>
      </c>
      <c r="H68" s="153" t="s">
        <v>43</v>
      </c>
      <c r="I68" s="240" t="s">
        <v>487</v>
      </c>
      <c r="J68" s="130" t="s">
        <v>488</v>
      </c>
    </row>
    <row r="69">
      <c r="A69" s="39">
        <v>46429.0</v>
      </c>
      <c r="B69" s="39">
        <v>46431.0</v>
      </c>
      <c r="C69" s="125"/>
      <c r="D69" s="43"/>
      <c r="E69" s="45"/>
      <c r="F69" s="47"/>
      <c r="G69" s="47"/>
      <c r="H69" s="153"/>
      <c r="I69" s="136"/>
      <c r="J69" s="130"/>
    </row>
    <row r="70">
      <c r="A70" s="39">
        <v>46431.0</v>
      </c>
      <c r="B70" s="39">
        <v>46432.0</v>
      </c>
      <c r="C70" s="125" t="s">
        <v>492</v>
      </c>
      <c r="D70" s="43"/>
      <c r="E70" s="45">
        <v>12000.0</v>
      </c>
      <c r="F70" s="47"/>
      <c r="G70" s="47"/>
      <c r="H70" s="153" t="s">
        <v>43</v>
      </c>
      <c r="I70" s="136"/>
      <c r="J70" s="130"/>
    </row>
    <row r="71">
      <c r="A71" s="39">
        <v>46432.0</v>
      </c>
      <c r="B71" s="39">
        <v>46434.0</v>
      </c>
      <c r="C71" s="125" t="s">
        <v>495</v>
      </c>
      <c r="D71" s="43"/>
      <c r="E71" s="45"/>
      <c r="F71" s="47"/>
      <c r="G71" s="47"/>
      <c r="H71" s="153" t="s">
        <v>43</v>
      </c>
      <c r="I71" s="136"/>
      <c r="J71" s="130"/>
    </row>
    <row r="72">
      <c r="A72" s="39">
        <v>46434.0</v>
      </c>
      <c r="B72" s="39">
        <v>46436.0</v>
      </c>
      <c r="C72" s="125" t="s">
        <v>500</v>
      </c>
      <c r="D72" s="43"/>
      <c r="E72" s="45"/>
      <c r="F72" s="47"/>
      <c r="G72" s="47"/>
      <c r="H72" s="153" t="s">
        <v>43</v>
      </c>
      <c r="I72" s="136"/>
      <c r="J72" s="130"/>
    </row>
    <row r="73">
      <c r="A73" s="39">
        <v>46436.0</v>
      </c>
      <c r="B73" s="39">
        <v>46438.0</v>
      </c>
      <c r="C73" s="243" t="s">
        <v>510</v>
      </c>
      <c r="D73" s="43"/>
      <c r="E73" s="45"/>
      <c r="F73" s="47"/>
      <c r="G73" s="47"/>
      <c r="H73" s="153" t="s">
        <v>43</v>
      </c>
      <c r="I73" s="136"/>
      <c r="J73" s="130"/>
    </row>
    <row r="74">
      <c r="A74" s="39">
        <v>46438.0</v>
      </c>
      <c r="B74" s="39">
        <v>46439.0</v>
      </c>
      <c r="C74" s="243" t="s">
        <v>512</v>
      </c>
      <c r="D74" s="43"/>
      <c r="E74" s="45"/>
      <c r="F74" s="47"/>
      <c r="G74" s="47"/>
      <c r="H74" s="153" t="s">
        <v>43</v>
      </c>
      <c r="I74" s="136"/>
      <c r="J74" s="130"/>
    </row>
    <row r="75">
      <c r="A75" s="39">
        <v>46439.0</v>
      </c>
      <c r="B75" s="39">
        <v>46440.0</v>
      </c>
      <c r="C75" s="243" t="s">
        <v>515</v>
      </c>
      <c r="D75" s="43"/>
      <c r="E75" s="45"/>
      <c r="F75" s="47"/>
      <c r="G75" s="47"/>
      <c r="H75" s="153"/>
      <c r="I75" s="136"/>
      <c r="J75" s="130"/>
    </row>
    <row r="76">
      <c r="A76" s="39"/>
      <c r="B76" s="39"/>
      <c r="C76" s="243"/>
      <c r="D76" s="43"/>
      <c r="E76" s="45"/>
      <c r="F76" s="47"/>
      <c r="G76" s="47"/>
      <c r="H76" s="153"/>
      <c r="I76" s="136"/>
      <c r="J76" s="130"/>
    </row>
    <row r="77">
      <c r="A77" s="39"/>
      <c r="B77" s="39"/>
      <c r="C77" s="243"/>
      <c r="D77" s="43"/>
      <c r="E77" s="45"/>
      <c r="F77" s="47"/>
      <c r="G77" s="47"/>
      <c r="H77" s="153"/>
      <c r="I77" s="136"/>
      <c r="J77" s="130"/>
    </row>
    <row r="78">
      <c r="A78" s="39"/>
      <c r="B78" s="39"/>
      <c r="C78" s="125"/>
      <c r="D78" s="43"/>
      <c r="E78" s="45"/>
      <c r="F78" s="47"/>
      <c r="G78" s="47"/>
      <c r="H78" s="153"/>
      <c r="I78" s="136"/>
      <c r="J78" s="130"/>
    </row>
    <row r="79">
      <c r="A79" s="39"/>
      <c r="B79" s="39"/>
      <c r="C79" s="125"/>
      <c r="D79" s="43"/>
      <c r="E79" s="45"/>
      <c r="F79" s="47"/>
      <c r="G79" s="47"/>
      <c r="H79" s="153"/>
      <c r="I79" s="136"/>
      <c r="J79" s="130"/>
    </row>
    <row r="80">
      <c r="A80" s="37"/>
      <c r="B80" s="39"/>
      <c r="C80" s="125"/>
      <c r="D80" s="43"/>
      <c r="E80" s="45"/>
      <c r="F80" s="47"/>
      <c r="G80" s="47"/>
      <c r="H80" s="153"/>
      <c r="I80" s="136"/>
      <c r="J80" s="130"/>
    </row>
    <row r="81">
      <c r="A81" s="37"/>
      <c r="B81" s="39"/>
      <c r="C81" s="125"/>
      <c r="D81" s="43"/>
      <c r="E81" s="45"/>
      <c r="F81" s="47"/>
      <c r="G81" s="47"/>
      <c r="H81" s="153"/>
      <c r="I81" s="136"/>
      <c r="J81" s="130"/>
    </row>
    <row r="82">
      <c r="A82" s="37"/>
      <c r="B82" s="39"/>
      <c r="C82" s="125"/>
      <c r="D82" s="43"/>
      <c r="E82" s="45"/>
      <c r="F82" s="47"/>
      <c r="G82" s="47"/>
      <c r="H82" s="153"/>
      <c r="I82" s="136"/>
      <c r="J82" s="130"/>
    </row>
    <row r="83">
      <c r="A83" s="37"/>
      <c r="B83" s="39"/>
      <c r="C83" s="125"/>
      <c r="D83" s="43"/>
      <c r="E83" s="45"/>
      <c r="F83" s="47"/>
      <c r="G83" s="47"/>
      <c r="H83" s="153"/>
      <c r="I83" s="136"/>
      <c r="J83" s="130"/>
    </row>
    <row r="84">
      <c r="A84" s="37"/>
      <c r="B84" s="39"/>
      <c r="C84" s="125"/>
      <c r="D84" s="43"/>
      <c r="E84" s="45"/>
      <c r="F84" s="47"/>
      <c r="G84" s="47"/>
      <c r="H84" s="153"/>
      <c r="I84" s="136"/>
      <c r="J84" s="130"/>
    </row>
    <row r="85">
      <c r="A85" s="37"/>
      <c r="B85" s="39"/>
      <c r="C85" s="125"/>
      <c r="D85" s="43"/>
      <c r="E85" s="45"/>
      <c r="F85" s="47"/>
      <c r="G85" s="47"/>
      <c r="H85" s="153"/>
      <c r="I85" s="136"/>
      <c r="J85" s="130"/>
    </row>
    <row r="86">
      <c r="A86" s="37"/>
      <c r="B86" s="39"/>
      <c r="C86" s="125"/>
      <c r="D86" s="43"/>
      <c r="E86" s="45"/>
      <c r="F86" s="47"/>
      <c r="G86" s="47"/>
      <c r="H86" s="153"/>
      <c r="I86" s="136"/>
      <c r="J86" s="130"/>
    </row>
    <row r="87">
      <c r="A87" s="37"/>
      <c r="B87" s="39"/>
      <c r="C87" s="125"/>
      <c r="D87" s="43"/>
      <c r="E87" s="45"/>
      <c r="F87" s="47"/>
      <c r="G87" s="47"/>
      <c r="H87" s="153"/>
      <c r="I87" s="136"/>
      <c r="J87" s="130"/>
    </row>
    <row r="88">
      <c r="A88" s="37"/>
      <c r="B88" s="39"/>
      <c r="C88" s="125"/>
      <c r="D88" s="43"/>
      <c r="E88" s="45"/>
      <c r="F88" s="47"/>
      <c r="G88" s="47"/>
      <c r="H88" s="153"/>
      <c r="I88" s="136"/>
      <c r="J88" s="130"/>
    </row>
    <row r="89">
      <c r="A89" s="37"/>
      <c r="B89" s="39"/>
      <c r="C89" s="125"/>
      <c r="D89" s="43"/>
      <c r="E89" s="45"/>
      <c r="F89" s="47"/>
      <c r="G89" s="47"/>
      <c r="H89" s="153"/>
      <c r="I89" s="136"/>
      <c r="J89" s="130"/>
    </row>
    <row r="90">
      <c r="A90" s="37"/>
      <c r="B90" s="39"/>
      <c r="C90" s="125"/>
      <c r="D90" s="43"/>
      <c r="E90" s="45"/>
      <c r="F90" s="47"/>
      <c r="G90" s="47"/>
      <c r="H90" s="153"/>
      <c r="I90" s="136"/>
      <c r="J90" s="130"/>
    </row>
    <row r="91">
      <c r="A91" s="37"/>
      <c r="B91" s="39"/>
      <c r="C91" s="125"/>
      <c r="D91" s="43"/>
      <c r="E91" s="45"/>
      <c r="F91" s="47"/>
      <c r="G91" s="47"/>
      <c r="H91" s="153"/>
      <c r="I91" s="136"/>
      <c r="J91" s="130"/>
    </row>
    <row r="92">
      <c r="A92" s="37"/>
      <c r="B92" s="39"/>
      <c r="C92" s="125"/>
      <c r="D92" s="43"/>
      <c r="E92" s="45"/>
      <c r="F92" s="47"/>
      <c r="G92" s="47"/>
      <c r="H92" s="153"/>
      <c r="I92" s="136"/>
      <c r="J92" s="130"/>
    </row>
    <row r="93">
      <c r="A93" s="37"/>
      <c r="B93" s="39"/>
      <c r="C93" s="125"/>
      <c r="D93" s="43"/>
      <c r="E93" s="45"/>
      <c r="F93" s="47"/>
      <c r="G93" s="47"/>
      <c r="H93" s="153"/>
      <c r="I93" s="136"/>
      <c r="J93" s="130"/>
    </row>
    <row r="94">
      <c r="A94" s="37"/>
      <c r="B94" s="39"/>
      <c r="C94" s="125"/>
      <c r="D94" s="43"/>
      <c r="E94" s="45"/>
      <c r="F94" s="47"/>
      <c r="G94" s="47"/>
      <c r="H94" s="153"/>
      <c r="I94" s="136"/>
      <c r="J94" s="130"/>
    </row>
    <row r="95">
      <c r="A95" s="37"/>
      <c r="B95" s="39"/>
      <c r="C95" s="125"/>
      <c r="D95" s="43"/>
      <c r="E95" s="45"/>
      <c r="F95" s="47"/>
      <c r="G95" s="47"/>
      <c r="H95" s="153"/>
      <c r="I95" s="136"/>
      <c r="J95" s="130"/>
    </row>
    <row r="96">
      <c r="A96" s="37"/>
      <c r="B96" s="39"/>
      <c r="C96" s="125"/>
      <c r="D96" s="43"/>
      <c r="E96" s="45"/>
      <c r="F96" s="47"/>
      <c r="G96" s="47"/>
      <c r="H96" s="153"/>
      <c r="I96" s="136"/>
      <c r="J96" s="130"/>
    </row>
    <row r="97">
      <c r="A97" s="37"/>
      <c r="B97" s="39"/>
      <c r="C97" s="125"/>
      <c r="D97" s="43"/>
      <c r="E97" s="45"/>
      <c r="F97" s="47"/>
      <c r="G97" s="47"/>
      <c r="H97" s="153"/>
      <c r="I97" s="136"/>
      <c r="J97" s="130"/>
    </row>
    <row r="98">
      <c r="A98" s="37"/>
      <c r="B98" s="39"/>
      <c r="C98" s="125"/>
      <c r="D98" s="43"/>
      <c r="E98" s="45"/>
      <c r="F98" s="47"/>
      <c r="G98" s="47"/>
      <c r="H98" s="153"/>
      <c r="I98" s="136"/>
      <c r="J98" s="130"/>
    </row>
    <row r="99">
      <c r="A99" s="37"/>
      <c r="B99" s="39"/>
      <c r="C99" s="125"/>
      <c r="D99" s="43"/>
      <c r="E99" s="45"/>
      <c r="F99" s="47"/>
      <c r="G99" s="47"/>
      <c r="H99" s="153"/>
      <c r="I99" s="136"/>
      <c r="J99" s="130"/>
    </row>
    <row r="100">
      <c r="A100" s="37"/>
      <c r="B100" s="39"/>
      <c r="C100" s="125"/>
      <c r="D100" s="43"/>
      <c r="E100" s="45"/>
      <c r="F100" s="47"/>
      <c r="G100" s="47"/>
      <c r="H100" s="153"/>
      <c r="I100" s="136"/>
      <c r="J100" s="130"/>
    </row>
    <row r="101">
      <c r="A101" s="37"/>
      <c r="B101" s="39"/>
      <c r="C101" s="125"/>
      <c r="D101" s="43"/>
      <c r="E101" s="45"/>
      <c r="F101" s="47"/>
      <c r="G101" s="47"/>
      <c r="H101" s="153"/>
      <c r="I101" s="136"/>
      <c r="J101" s="130"/>
    </row>
    <row r="102">
      <c r="A102" s="37"/>
      <c r="B102" s="39"/>
      <c r="C102" s="125"/>
      <c r="D102" s="43"/>
      <c r="E102" s="45"/>
      <c r="F102" s="47"/>
      <c r="G102" s="47"/>
      <c r="H102" s="153"/>
      <c r="I102" s="136"/>
      <c r="J102" s="130"/>
    </row>
    <row r="103">
      <c r="A103" s="37"/>
      <c r="B103" s="39"/>
      <c r="C103" s="125"/>
      <c r="D103" s="43"/>
      <c r="E103" s="45"/>
      <c r="F103" s="47"/>
      <c r="G103" s="47"/>
      <c r="H103" s="153"/>
      <c r="I103" s="136"/>
      <c r="J103" s="130"/>
    </row>
    <row r="104">
      <c r="A104" s="37"/>
      <c r="B104" s="39"/>
      <c r="C104" s="125"/>
      <c r="D104" s="43"/>
      <c r="E104" s="45"/>
      <c r="F104" s="47"/>
      <c r="G104" s="47"/>
      <c r="H104" s="153"/>
      <c r="I104" s="136"/>
      <c r="J104" s="130"/>
    </row>
    <row r="105">
      <c r="A105" s="37"/>
      <c r="B105" s="39"/>
      <c r="C105" s="125"/>
      <c r="D105" s="43"/>
      <c r="E105" s="45"/>
      <c r="F105" s="47"/>
      <c r="G105" s="47"/>
      <c r="H105" s="153"/>
      <c r="I105" s="136"/>
      <c r="J105" s="130"/>
    </row>
    <row r="106">
      <c r="A106" s="37"/>
      <c r="B106" s="39"/>
      <c r="C106" s="125"/>
      <c r="D106" s="43"/>
      <c r="E106" s="45"/>
      <c r="F106" s="47"/>
      <c r="G106" s="47"/>
      <c r="H106" s="153"/>
      <c r="I106" s="136"/>
      <c r="J106" s="130"/>
    </row>
    <row r="107">
      <c r="A107" s="37"/>
      <c r="B107" s="39"/>
      <c r="C107" s="125"/>
      <c r="D107" s="43"/>
      <c r="E107" s="45"/>
      <c r="F107" s="47"/>
      <c r="G107" s="47"/>
      <c r="H107" s="153"/>
      <c r="I107" s="136"/>
      <c r="J107" s="130"/>
    </row>
    <row r="108">
      <c r="A108" s="37"/>
      <c r="B108" s="39"/>
      <c r="C108" s="125"/>
      <c r="D108" s="43"/>
      <c r="E108" s="45"/>
      <c r="F108" s="47"/>
      <c r="G108" s="47"/>
      <c r="H108" s="153"/>
      <c r="I108" s="136"/>
      <c r="J108" s="130"/>
    </row>
    <row r="109">
      <c r="A109" s="37"/>
      <c r="B109" s="39"/>
      <c r="C109" s="125"/>
      <c r="D109" s="43"/>
      <c r="E109" s="45"/>
      <c r="F109" s="47"/>
      <c r="G109" s="47"/>
      <c r="H109" s="153"/>
      <c r="I109" s="136"/>
      <c r="J109" s="130"/>
    </row>
    <row r="110">
      <c r="A110" s="37"/>
      <c r="B110" s="39"/>
      <c r="C110" s="125"/>
      <c r="D110" s="43"/>
      <c r="E110" s="45"/>
      <c r="F110" s="47"/>
      <c r="G110" s="47"/>
      <c r="H110" s="153"/>
      <c r="I110" s="136"/>
      <c r="J110" s="130"/>
    </row>
    <row r="111">
      <c r="A111" s="37"/>
      <c r="B111" s="39"/>
      <c r="C111" s="125"/>
      <c r="D111" s="43"/>
      <c r="E111" s="45"/>
      <c r="F111" s="47"/>
      <c r="G111" s="47"/>
      <c r="H111" s="153"/>
      <c r="I111" s="136"/>
      <c r="J111" s="130"/>
    </row>
    <row r="112">
      <c r="A112" s="37"/>
      <c r="B112" s="39"/>
      <c r="C112" s="125"/>
      <c r="D112" s="43"/>
      <c r="E112" s="45"/>
      <c r="F112" s="47"/>
      <c r="G112" s="47"/>
      <c r="H112" s="153"/>
      <c r="I112" s="136"/>
      <c r="J112" s="130"/>
    </row>
    <row r="113">
      <c r="A113" s="37"/>
      <c r="B113" s="39"/>
      <c r="C113" s="125"/>
      <c r="D113" s="43"/>
      <c r="E113" s="45"/>
      <c r="F113" s="47"/>
      <c r="G113" s="47"/>
      <c r="H113" s="153"/>
      <c r="I113" s="136"/>
      <c r="J113" s="130"/>
    </row>
    <row r="114">
      <c r="A114" s="37"/>
      <c r="B114" s="39"/>
      <c r="C114" s="125"/>
      <c r="D114" s="43"/>
      <c r="E114" s="45"/>
      <c r="F114" s="47"/>
      <c r="G114" s="47"/>
      <c r="H114" s="153"/>
      <c r="I114" s="136"/>
      <c r="J114" s="130"/>
    </row>
    <row r="115">
      <c r="A115" s="37"/>
      <c r="B115" s="39"/>
      <c r="C115" s="125"/>
      <c r="D115" s="43"/>
      <c r="E115" s="45"/>
      <c r="F115" s="47"/>
      <c r="G115" s="47"/>
      <c r="H115" s="153"/>
      <c r="I115" s="136"/>
      <c r="J115" s="130"/>
    </row>
    <row r="116">
      <c r="A116" s="37"/>
      <c r="B116" s="39"/>
      <c r="C116" s="125"/>
      <c r="D116" s="43"/>
      <c r="E116" s="45"/>
      <c r="F116" s="47"/>
      <c r="G116" s="47"/>
      <c r="H116" s="153"/>
      <c r="I116" s="136"/>
      <c r="J116" s="130"/>
    </row>
    <row r="117">
      <c r="A117" s="37"/>
      <c r="B117" s="39"/>
      <c r="C117" s="125"/>
      <c r="D117" s="43"/>
      <c r="E117" s="45"/>
      <c r="F117" s="47"/>
      <c r="G117" s="47"/>
      <c r="H117" s="153"/>
      <c r="I117" s="136"/>
      <c r="J117" s="130"/>
    </row>
    <row r="118">
      <c r="A118" s="37"/>
      <c r="B118" s="39"/>
      <c r="C118" s="125"/>
      <c r="D118" s="43"/>
      <c r="E118" s="45"/>
      <c r="F118" s="47"/>
      <c r="G118" s="47"/>
      <c r="H118" s="153"/>
      <c r="I118" s="136"/>
      <c r="J118" s="130"/>
    </row>
    <row r="119">
      <c r="A119" s="37"/>
      <c r="B119" s="39"/>
      <c r="C119" s="125"/>
      <c r="D119" s="43"/>
      <c r="E119" s="45"/>
      <c r="F119" s="47"/>
      <c r="G119" s="47"/>
      <c r="H119" s="153"/>
      <c r="I119" s="136"/>
      <c r="J119" s="130"/>
    </row>
    <row r="120">
      <c r="A120" s="37"/>
      <c r="B120" s="39"/>
      <c r="C120" s="125"/>
      <c r="D120" s="43"/>
      <c r="E120" s="45"/>
      <c r="F120" s="47"/>
      <c r="G120" s="47"/>
      <c r="H120" s="153"/>
      <c r="I120" s="136"/>
      <c r="J120" s="130"/>
    </row>
    <row r="121">
      <c r="A121" s="37"/>
      <c r="B121" s="39"/>
      <c r="C121" s="125"/>
      <c r="D121" s="43"/>
      <c r="E121" s="45"/>
      <c r="F121" s="47"/>
      <c r="G121" s="47"/>
      <c r="H121" s="153"/>
      <c r="I121" s="136"/>
      <c r="J121" s="130"/>
    </row>
    <row r="122">
      <c r="A122" s="37"/>
      <c r="B122" s="39"/>
      <c r="C122" s="125"/>
      <c r="D122" s="43"/>
      <c r="E122" s="45"/>
      <c r="F122" s="47"/>
      <c r="G122" s="47"/>
      <c r="H122" s="153"/>
      <c r="I122" s="136"/>
      <c r="J122" s="130"/>
    </row>
    <row r="123">
      <c r="A123" s="37"/>
      <c r="B123" s="39"/>
      <c r="C123" s="125"/>
      <c r="D123" s="43"/>
      <c r="E123" s="45"/>
      <c r="F123" s="47"/>
      <c r="G123" s="47"/>
      <c r="H123" s="153"/>
      <c r="I123" s="136"/>
      <c r="J123" s="130"/>
    </row>
    <row r="124">
      <c r="A124" s="37"/>
      <c r="B124" s="39"/>
      <c r="C124" s="125"/>
      <c r="D124" s="43"/>
      <c r="E124" s="45"/>
      <c r="F124" s="47"/>
      <c r="G124" s="47"/>
      <c r="H124" s="153"/>
      <c r="I124" s="136"/>
      <c r="J124" s="130"/>
    </row>
    <row r="125">
      <c r="A125" s="37"/>
      <c r="B125" s="39"/>
      <c r="C125" s="125"/>
      <c r="D125" s="43"/>
      <c r="E125" s="45"/>
      <c r="F125" s="47"/>
      <c r="G125" s="47"/>
      <c r="H125" s="153"/>
      <c r="I125" s="136"/>
      <c r="J125" s="130"/>
    </row>
    <row r="126">
      <c r="A126" s="37"/>
      <c r="B126" s="39"/>
      <c r="C126" s="125"/>
      <c r="D126" s="43"/>
      <c r="E126" s="45"/>
      <c r="F126" s="47"/>
      <c r="G126" s="47"/>
      <c r="H126" s="153"/>
      <c r="I126" s="136"/>
      <c r="J126" s="130"/>
    </row>
    <row r="127">
      <c r="A127" s="37"/>
      <c r="B127" s="39"/>
      <c r="C127" s="125"/>
      <c r="D127" s="43"/>
      <c r="E127" s="45"/>
      <c r="F127" s="47"/>
      <c r="G127" s="47"/>
      <c r="H127" s="153"/>
      <c r="I127" s="136"/>
      <c r="J127" s="130"/>
    </row>
    <row r="128">
      <c r="A128" s="37"/>
      <c r="B128" s="39"/>
      <c r="C128" s="125"/>
      <c r="D128" s="43"/>
      <c r="E128" s="45"/>
      <c r="F128" s="47"/>
      <c r="G128" s="47"/>
      <c r="H128" s="153"/>
      <c r="I128" s="136"/>
      <c r="J128" s="130"/>
    </row>
    <row r="129">
      <c r="A129" s="37"/>
      <c r="B129" s="39"/>
      <c r="C129" s="125"/>
      <c r="D129" s="43"/>
      <c r="E129" s="45"/>
      <c r="F129" s="47"/>
      <c r="G129" s="47"/>
      <c r="H129" s="153"/>
      <c r="I129" s="136"/>
      <c r="J129" s="130"/>
    </row>
    <row r="130">
      <c r="A130" s="37"/>
      <c r="B130" s="39"/>
      <c r="C130" s="125"/>
      <c r="D130" s="43"/>
      <c r="E130" s="45"/>
      <c r="F130" s="47"/>
      <c r="G130" s="47"/>
      <c r="H130" s="153"/>
      <c r="I130" s="136"/>
      <c r="J130" s="130"/>
    </row>
    <row r="131">
      <c r="A131" s="37"/>
      <c r="B131" s="39"/>
      <c r="C131" s="125"/>
      <c r="D131" s="43"/>
      <c r="E131" s="45"/>
      <c r="F131" s="47"/>
      <c r="G131" s="47"/>
      <c r="H131" s="153"/>
      <c r="I131" s="136"/>
      <c r="J131" s="130"/>
    </row>
    <row r="132">
      <c r="A132" s="37"/>
      <c r="B132" s="39"/>
      <c r="C132" s="125"/>
      <c r="D132" s="43"/>
      <c r="E132" s="45"/>
      <c r="F132" s="47"/>
      <c r="G132" s="47"/>
      <c r="H132" s="153"/>
      <c r="I132" s="136"/>
      <c r="J132" s="130"/>
    </row>
    <row r="133">
      <c r="A133" s="37"/>
      <c r="B133" s="39"/>
      <c r="C133" s="125"/>
      <c r="D133" s="43"/>
      <c r="E133" s="45"/>
      <c r="F133" s="47"/>
      <c r="G133" s="47"/>
      <c r="H133" s="153"/>
      <c r="I133" s="136"/>
      <c r="J133" s="130"/>
    </row>
    <row r="134">
      <c r="A134" s="37"/>
      <c r="B134" s="39"/>
      <c r="C134" s="125"/>
      <c r="D134" s="43"/>
      <c r="E134" s="45"/>
      <c r="F134" s="47"/>
      <c r="G134" s="47"/>
      <c r="H134" s="153"/>
      <c r="I134" s="136"/>
      <c r="J134" s="130"/>
    </row>
    <row r="135">
      <c r="A135" s="37"/>
      <c r="B135" s="39"/>
      <c r="C135" s="125"/>
      <c r="D135" s="43"/>
      <c r="E135" s="45"/>
      <c r="F135" s="47"/>
      <c r="G135" s="47"/>
      <c r="H135" s="153"/>
      <c r="I135" s="136"/>
      <c r="J135" s="130"/>
    </row>
    <row r="136">
      <c r="A136" s="37"/>
      <c r="B136" s="39"/>
      <c r="C136" s="125"/>
      <c r="D136" s="43"/>
      <c r="E136" s="45"/>
      <c r="F136" s="47"/>
      <c r="G136" s="47"/>
      <c r="H136" s="153"/>
      <c r="I136" s="136"/>
      <c r="J136" s="130"/>
    </row>
    <row r="137">
      <c r="A137" s="37"/>
      <c r="B137" s="39"/>
      <c r="C137" s="125"/>
      <c r="D137" s="43"/>
      <c r="E137" s="45"/>
      <c r="F137" s="47"/>
      <c r="G137" s="47"/>
      <c r="H137" s="153"/>
      <c r="I137" s="136"/>
      <c r="J137" s="130"/>
    </row>
    <row r="138">
      <c r="A138" s="37"/>
      <c r="B138" s="39"/>
      <c r="C138" s="125"/>
      <c r="D138" s="43"/>
      <c r="E138" s="45"/>
      <c r="F138" s="47"/>
      <c r="G138" s="47"/>
      <c r="H138" s="153"/>
      <c r="I138" s="136"/>
      <c r="J138" s="130"/>
    </row>
    <row r="139">
      <c r="A139" s="37"/>
      <c r="B139" s="39"/>
      <c r="C139" s="125"/>
      <c r="D139" s="43"/>
      <c r="E139" s="45"/>
      <c r="F139" s="47"/>
      <c r="G139" s="47"/>
      <c r="H139" s="153"/>
      <c r="I139" s="136"/>
      <c r="J139" s="130"/>
    </row>
    <row r="140">
      <c r="A140" s="37"/>
      <c r="B140" s="39"/>
      <c r="C140" s="125"/>
      <c r="D140" s="43"/>
      <c r="E140" s="45"/>
      <c r="F140" s="47"/>
      <c r="G140" s="47"/>
      <c r="H140" s="153"/>
      <c r="I140" s="136"/>
      <c r="J140" s="130"/>
    </row>
    <row r="141">
      <c r="A141" s="37"/>
      <c r="B141" s="39"/>
      <c r="C141" s="125"/>
      <c r="D141" s="43"/>
      <c r="E141" s="45"/>
      <c r="F141" s="47"/>
      <c r="G141" s="47"/>
      <c r="H141" s="153"/>
      <c r="I141" s="136"/>
      <c r="J141" s="130"/>
    </row>
    <row r="142">
      <c r="A142" s="37"/>
      <c r="B142" s="39"/>
      <c r="C142" s="125"/>
      <c r="D142" s="43"/>
      <c r="E142" s="45"/>
      <c r="F142" s="47"/>
      <c r="G142" s="47"/>
      <c r="H142" s="153"/>
      <c r="I142" s="136"/>
      <c r="J142" s="130"/>
    </row>
    <row r="143">
      <c r="A143" s="37"/>
      <c r="B143" s="39"/>
      <c r="C143" s="125"/>
      <c r="D143" s="43"/>
      <c r="E143" s="45"/>
      <c r="F143" s="47"/>
      <c r="G143" s="47"/>
      <c r="H143" s="153"/>
      <c r="I143" s="136"/>
      <c r="J143" s="130"/>
    </row>
    <row r="144">
      <c r="A144" s="37"/>
      <c r="B144" s="39"/>
      <c r="C144" s="125"/>
      <c r="D144" s="43"/>
      <c r="E144" s="45"/>
      <c r="F144" s="47"/>
      <c r="G144" s="47"/>
      <c r="H144" s="153"/>
      <c r="I144" s="136"/>
      <c r="J144" s="130"/>
    </row>
    <row r="145">
      <c r="A145" s="37"/>
      <c r="B145" s="39"/>
      <c r="C145" s="125"/>
      <c r="D145" s="43"/>
      <c r="E145" s="45"/>
      <c r="F145" s="47"/>
      <c r="G145" s="47"/>
      <c r="H145" s="153"/>
      <c r="I145" s="136"/>
      <c r="J145" s="130"/>
    </row>
    <row r="146">
      <c r="A146" s="37"/>
      <c r="B146" s="39"/>
      <c r="C146" s="125"/>
      <c r="D146" s="43"/>
      <c r="E146" s="45"/>
      <c r="F146" s="47"/>
      <c r="G146" s="47"/>
      <c r="H146" s="153"/>
      <c r="I146" s="136"/>
      <c r="J146" s="130"/>
    </row>
    <row r="147">
      <c r="A147" s="37"/>
      <c r="B147" s="39"/>
      <c r="C147" s="125"/>
      <c r="D147" s="43"/>
      <c r="E147" s="45"/>
      <c r="F147" s="47"/>
      <c r="G147" s="47"/>
      <c r="H147" s="153"/>
      <c r="I147" s="136"/>
      <c r="J147" s="130"/>
    </row>
    <row r="148">
      <c r="A148" s="37"/>
      <c r="B148" s="39"/>
      <c r="C148" s="125"/>
      <c r="D148" s="43"/>
      <c r="E148" s="45"/>
      <c r="F148" s="47"/>
      <c r="G148" s="47"/>
      <c r="H148" s="153"/>
      <c r="I148" s="136"/>
      <c r="J148" s="130"/>
    </row>
    <row r="149">
      <c r="A149" s="327"/>
      <c r="B149" s="329"/>
      <c r="C149" s="331"/>
      <c r="D149" s="332"/>
      <c r="E149" s="334"/>
      <c r="F149" s="335"/>
      <c r="G149" s="335"/>
      <c r="H149" s="336"/>
      <c r="I149" s="337"/>
      <c r="J149" s="338"/>
    </row>
    <row r="150">
      <c r="A150" s="340"/>
      <c r="B150" s="340"/>
      <c r="C150" s="340"/>
      <c r="D150" s="342" t="s">
        <v>159</v>
      </c>
      <c r="E150" s="343">
        <f>SUM(E3:E149)</f>
        <v>36949.08</v>
      </c>
      <c r="F150" s="340"/>
      <c r="G150" s="340"/>
      <c r="H150" s="340"/>
      <c r="I150" s="344"/>
      <c r="J150" s="340"/>
    </row>
    <row r="151">
      <c r="D151" s="345"/>
      <c r="I151" s="346"/>
    </row>
    <row r="152">
      <c r="D152" s="345"/>
      <c r="I152" s="346"/>
    </row>
    <row r="153">
      <c r="D153" s="345"/>
      <c r="I153" s="346"/>
    </row>
    <row r="154">
      <c r="D154" s="345"/>
      <c r="I154" s="346"/>
    </row>
    <row r="155">
      <c r="D155" s="345"/>
      <c r="I155" s="346"/>
    </row>
    <row r="156">
      <c r="D156" s="345"/>
      <c r="I156" s="346"/>
    </row>
    <row r="157">
      <c r="D157" s="345"/>
      <c r="I157" s="346"/>
    </row>
    <row r="158">
      <c r="D158" s="345"/>
      <c r="I158" s="346"/>
    </row>
    <row r="159">
      <c r="D159" s="345"/>
      <c r="I159" s="346"/>
    </row>
    <row r="160">
      <c r="D160" s="345"/>
      <c r="I160" s="346"/>
    </row>
    <row r="161">
      <c r="D161" s="345"/>
      <c r="I161" s="346"/>
    </row>
    <row r="162">
      <c r="D162" s="345"/>
      <c r="I162" s="346"/>
    </row>
    <row r="163">
      <c r="D163" s="345"/>
      <c r="I163" s="346"/>
    </row>
    <row r="164">
      <c r="D164" s="345"/>
      <c r="I164" s="346"/>
    </row>
    <row r="165">
      <c r="D165" s="345"/>
      <c r="I165" s="346"/>
    </row>
    <row r="166">
      <c r="D166" s="345"/>
      <c r="I166" s="346"/>
    </row>
    <row r="167">
      <c r="D167" s="345"/>
      <c r="I167" s="346"/>
    </row>
    <row r="168">
      <c r="D168" s="345"/>
      <c r="I168" s="346"/>
    </row>
    <row r="169">
      <c r="D169" s="345"/>
      <c r="I169" s="346"/>
    </row>
    <row r="170">
      <c r="D170" s="345"/>
      <c r="I170" s="346"/>
    </row>
    <row r="171">
      <c r="D171" s="345"/>
      <c r="I171" s="346"/>
    </row>
    <row r="172">
      <c r="D172" s="345"/>
      <c r="I172" s="346"/>
    </row>
    <row r="173">
      <c r="D173" s="345"/>
      <c r="I173" s="346"/>
    </row>
    <row r="174">
      <c r="D174" s="345"/>
      <c r="I174" s="346"/>
    </row>
    <row r="175">
      <c r="D175" s="345"/>
      <c r="I175" s="346"/>
    </row>
    <row r="176">
      <c r="D176" s="345"/>
      <c r="I176" s="346"/>
    </row>
    <row r="177">
      <c r="D177" s="345"/>
      <c r="I177" s="346"/>
    </row>
    <row r="178">
      <c r="D178" s="345"/>
      <c r="I178" s="346"/>
    </row>
    <row r="179">
      <c r="D179" s="345"/>
      <c r="I179" s="346"/>
    </row>
    <row r="180">
      <c r="D180" s="345"/>
      <c r="I180" s="346"/>
    </row>
    <row r="181">
      <c r="D181" s="345"/>
      <c r="I181" s="346"/>
    </row>
    <row r="182">
      <c r="D182" s="345"/>
      <c r="I182" s="346"/>
    </row>
    <row r="183">
      <c r="D183" s="345"/>
      <c r="I183" s="346"/>
    </row>
    <row r="184">
      <c r="D184" s="345"/>
      <c r="I184" s="346"/>
    </row>
    <row r="185">
      <c r="D185" s="345"/>
      <c r="I185" s="346"/>
    </row>
    <row r="186">
      <c r="D186" s="345"/>
      <c r="I186" s="346"/>
    </row>
    <row r="187">
      <c r="D187" s="345"/>
      <c r="I187" s="346"/>
    </row>
    <row r="188">
      <c r="D188" s="345"/>
      <c r="I188" s="346"/>
    </row>
    <row r="189">
      <c r="D189" s="345"/>
      <c r="I189" s="346"/>
    </row>
    <row r="190">
      <c r="D190" s="345"/>
      <c r="I190" s="346"/>
    </row>
    <row r="191">
      <c r="D191" s="345"/>
      <c r="I191" s="346"/>
    </row>
    <row r="192">
      <c r="D192" s="345"/>
      <c r="I192" s="346"/>
    </row>
    <row r="193">
      <c r="D193" s="345"/>
      <c r="I193" s="346"/>
    </row>
    <row r="194">
      <c r="D194" s="345"/>
      <c r="I194" s="346"/>
    </row>
    <row r="195">
      <c r="D195" s="345"/>
      <c r="I195" s="346"/>
    </row>
    <row r="196">
      <c r="D196" s="345"/>
      <c r="I196" s="346"/>
    </row>
    <row r="197">
      <c r="D197" s="345"/>
      <c r="I197" s="346"/>
    </row>
    <row r="198">
      <c r="D198" s="345"/>
      <c r="I198" s="346"/>
    </row>
    <row r="199">
      <c r="D199" s="345"/>
      <c r="I199" s="346"/>
    </row>
    <row r="200">
      <c r="D200" s="345"/>
      <c r="I200" s="346"/>
    </row>
    <row r="201">
      <c r="D201" s="345"/>
      <c r="I201" s="346"/>
    </row>
    <row r="202">
      <c r="D202" s="345"/>
      <c r="I202" s="346"/>
    </row>
    <row r="203">
      <c r="D203" s="345"/>
      <c r="I203" s="346"/>
    </row>
    <row r="204">
      <c r="D204" s="345"/>
      <c r="I204" s="346"/>
    </row>
    <row r="205">
      <c r="D205" s="345"/>
      <c r="I205" s="346"/>
    </row>
    <row r="206">
      <c r="D206" s="345"/>
      <c r="I206" s="346"/>
    </row>
    <row r="207">
      <c r="D207" s="345"/>
      <c r="I207" s="346"/>
    </row>
    <row r="208">
      <c r="D208" s="345"/>
      <c r="I208" s="346"/>
    </row>
    <row r="209">
      <c r="D209" s="345"/>
      <c r="I209" s="346"/>
    </row>
    <row r="210">
      <c r="D210" s="345"/>
      <c r="I210" s="346"/>
    </row>
    <row r="211">
      <c r="D211" s="345"/>
      <c r="I211" s="346"/>
    </row>
    <row r="212">
      <c r="D212" s="345"/>
      <c r="I212" s="346"/>
    </row>
    <row r="213">
      <c r="D213" s="345"/>
      <c r="I213" s="346"/>
    </row>
    <row r="214">
      <c r="D214" s="345"/>
      <c r="I214" s="346"/>
    </row>
    <row r="215">
      <c r="D215" s="345"/>
      <c r="I215" s="346"/>
    </row>
    <row r="216">
      <c r="D216" s="345"/>
      <c r="I216" s="346"/>
    </row>
    <row r="217">
      <c r="D217" s="345"/>
      <c r="I217" s="346"/>
    </row>
    <row r="218">
      <c r="D218" s="345"/>
      <c r="I218" s="346"/>
    </row>
    <row r="219">
      <c r="D219" s="345"/>
      <c r="I219" s="346"/>
    </row>
    <row r="220">
      <c r="D220" s="345"/>
      <c r="I220" s="346"/>
    </row>
    <row r="221">
      <c r="D221" s="345"/>
      <c r="I221" s="346"/>
    </row>
    <row r="222">
      <c r="D222" s="345"/>
      <c r="I222" s="346"/>
    </row>
    <row r="223">
      <c r="D223" s="345"/>
      <c r="I223" s="346"/>
    </row>
    <row r="224">
      <c r="D224" s="345"/>
      <c r="I224" s="346"/>
    </row>
    <row r="225">
      <c r="D225" s="345"/>
      <c r="I225" s="346"/>
    </row>
    <row r="226">
      <c r="D226" s="345"/>
      <c r="I226" s="346"/>
    </row>
    <row r="227">
      <c r="D227" s="345"/>
      <c r="I227" s="346"/>
    </row>
    <row r="228">
      <c r="D228" s="345"/>
      <c r="I228" s="346"/>
    </row>
    <row r="229">
      <c r="D229" s="345"/>
      <c r="I229" s="346"/>
    </row>
    <row r="230">
      <c r="D230" s="345"/>
      <c r="I230" s="346"/>
    </row>
    <row r="231">
      <c r="D231" s="345"/>
      <c r="I231" s="346"/>
    </row>
    <row r="232">
      <c r="D232" s="345"/>
      <c r="I232" s="346"/>
    </row>
    <row r="233">
      <c r="D233" s="345"/>
      <c r="I233" s="346"/>
    </row>
    <row r="234">
      <c r="D234" s="345"/>
      <c r="I234" s="346"/>
    </row>
    <row r="235">
      <c r="D235" s="345"/>
      <c r="I235" s="346"/>
    </row>
    <row r="236">
      <c r="D236" s="345"/>
      <c r="I236" s="346"/>
    </row>
    <row r="237">
      <c r="D237" s="345"/>
      <c r="I237" s="346"/>
    </row>
    <row r="238">
      <c r="D238" s="345"/>
      <c r="I238" s="346"/>
    </row>
    <row r="239">
      <c r="D239" s="345"/>
      <c r="I239" s="346"/>
    </row>
    <row r="240">
      <c r="D240" s="345"/>
      <c r="I240" s="346"/>
    </row>
    <row r="241">
      <c r="D241" s="345"/>
      <c r="I241" s="346"/>
    </row>
    <row r="242">
      <c r="D242" s="345"/>
      <c r="I242" s="346"/>
    </row>
    <row r="243">
      <c r="D243" s="345"/>
      <c r="I243" s="346"/>
    </row>
    <row r="244">
      <c r="D244" s="345"/>
      <c r="I244" s="346"/>
    </row>
    <row r="245">
      <c r="D245" s="345"/>
      <c r="I245" s="346"/>
    </row>
    <row r="246">
      <c r="D246" s="345"/>
      <c r="I246" s="346"/>
    </row>
    <row r="247">
      <c r="D247" s="345"/>
      <c r="I247" s="346"/>
    </row>
    <row r="248">
      <c r="D248" s="345"/>
      <c r="I248" s="346"/>
    </row>
    <row r="249">
      <c r="D249" s="345"/>
      <c r="I249" s="346"/>
    </row>
    <row r="250">
      <c r="D250" s="345"/>
      <c r="I250" s="346"/>
    </row>
    <row r="251">
      <c r="D251" s="345"/>
      <c r="I251" s="346"/>
    </row>
    <row r="252">
      <c r="D252" s="345"/>
      <c r="I252" s="346"/>
    </row>
    <row r="253">
      <c r="D253" s="345"/>
      <c r="I253" s="346"/>
    </row>
    <row r="254">
      <c r="D254" s="345"/>
      <c r="I254" s="346"/>
    </row>
    <row r="255">
      <c r="D255" s="345"/>
      <c r="I255" s="346"/>
    </row>
    <row r="256">
      <c r="D256" s="345"/>
      <c r="I256" s="346"/>
    </row>
    <row r="257">
      <c r="D257" s="345"/>
      <c r="I257" s="346"/>
    </row>
    <row r="258">
      <c r="D258" s="345"/>
      <c r="I258" s="346"/>
    </row>
    <row r="259">
      <c r="D259" s="345"/>
      <c r="I259" s="346"/>
    </row>
    <row r="260">
      <c r="D260" s="345"/>
      <c r="I260" s="346"/>
    </row>
    <row r="261">
      <c r="D261" s="345"/>
      <c r="I261" s="346"/>
    </row>
    <row r="262">
      <c r="D262" s="345"/>
      <c r="I262" s="346"/>
    </row>
    <row r="263">
      <c r="D263" s="345"/>
      <c r="I263" s="346"/>
    </row>
    <row r="264">
      <c r="D264" s="345"/>
      <c r="I264" s="346"/>
    </row>
    <row r="265">
      <c r="D265" s="345"/>
      <c r="I265" s="346"/>
    </row>
    <row r="266">
      <c r="D266" s="345"/>
      <c r="I266" s="346"/>
    </row>
    <row r="267">
      <c r="D267" s="345"/>
      <c r="I267" s="346"/>
    </row>
    <row r="268">
      <c r="D268" s="345"/>
      <c r="I268" s="346"/>
    </row>
    <row r="269">
      <c r="D269" s="345"/>
      <c r="I269" s="346"/>
    </row>
    <row r="270">
      <c r="D270" s="345"/>
      <c r="I270" s="346"/>
    </row>
    <row r="271">
      <c r="D271" s="345"/>
      <c r="I271" s="346"/>
    </row>
    <row r="272">
      <c r="D272" s="345"/>
      <c r="I272" s="346"/>
    </row>
    <row r="273">
      <c r="D273" s="345"/>
      <c r="I273" s="346"/>
    </row>
    <row r="274">
      <c r="D274" s="345"/>
      <c r="I274" s="346"/>
    </row>
    <row r="275">
      <c r="D275" s="345"/>
      <c r="I275" s="346"/>
    </row>
    <row r="276">
      <c r="D276" s="345"/>
      <c r="I276" s="346"/>
    </row>
    <row r="277">
      <c r="D277" s="345"/>
      <c r="I277" s="346"/>
    </row>
    <row r="278">
      <c r="D278" s="345"/>
      <c r="I278" s="346"/>
    </row>
    <row r="279">
      <c r="D279" s="345"/>
      <c r="I279" s="346"/>
    </row>
    <row r="280">
      <c r="D280" s="345"/>
      <c r="I280" s="346"/>
    </row>
    <row r="281">
      <c r="D281" s="345"/>
      <c r="I281" s="346"/>
    </row>
    <row r="282">
      <c r="D282" s="345"/>
      <c r="I282" s="346"/>
    </row>
    <row r="283">
      <c r="D283" s="345"/>
      <c r="I283" s="346"/>
    </row>
    <row r="284">
      <c r="D284" s="345"/>
      <c r="I284" s="346"/>
    </row>
    <row r="285">
      <c r="D285" s="345"/>
      <c r="I285" s="346"/>
    </row>
    <row r="286">
      <c r="D286" s="345"/>
      <c r="I286" s="346"/>
    </row>
    <row r="287">
      <c r="D287" s="345"/>
      <c r="I287" s="346"/>
    </row>
    <row r="288">
      <c r="D288" s="345"/>
      <c r="I288" s="346"/>
    </row>
    <row r="289">
      <c r="D289" s="345"/>
      <c r="I289" s="346"/>
    </row>
    <row r="290">
      <c r="D290" s="345"/>
      <c r="I290" s="346"/>
    </row>
    <row r="291">
      <c r="D291" s="345"/>
      <c r="I291" s="346"/>
    </row>
    <row r="292">
      <c r="D292" s="345"/>
      <c r="I292" s="346"/>
    </row>
    <row r="293">
      <c r="D293" s="345"/>
      <c r="I293" s="346"/>
    </row>
    <row r="294">
      <c r="D294" s="345"/>
      <c r="I294" s="346"/>
    </row>
    <row r="295">
      <c r="D295" s="345"/>
      <c r="I295" s="346"/>
    </row>
    <row r="296">
      <c r="D296" s="345"/>
      <c r="I296" s="346"/>
    </row>
    <row r="297">
      <c r="D297" s="345"/>
      <c r="I297" s="346"/>
    </row>
    <row r="298">
      <c r="D298" s="345"/>
      <c r="I298" s="346"/>
    </row>
    <row r="299">
      <c r="D299" s="345"/>
      <c r="I299" s="346"/>
    </row>
    <row r="300">
      <c r="D300" s="345"/>
      <c r="I300" s="346"/>
    </row>
    <row r="301">
      <c r="D301" s="345"/>
      <c r="I301" s="346"/>
    </row>
    <row r="302">
      <c r="D302" s="345"/>
      <c r="I302" s="346"/>
    </row>
    <row r="303">
      <c r="D303" s="345"/>
      <c r="I303" s="346"/>
    </row>
    <row r="304">
      <c r="D304" s="345"/>
      <c r="I304" s="346"/>
    </row>
    <row r="305">
      <c r="D305" s="345"/>
      <c r="I305" s="346"/>
    </row>
    <row r="306">
      <c r="D306" s="345"/>
      <c r="I306" s="346"/>
    </row>
    <row r="307">
      <c r="D307" s="345"/>
      <c r="I307" s="346"/>
    </row>
    <row r="308">
      <c r="D308" s="345"/>
      <c r="I308" s="346"/>
    </row>
    <row r="309">
      <c r="D309" s="345"/>
      <c r="I309" s="346"/>
    </row>
    <row r="310">
      <c r="D310" s="345"/>
      <c r="I310" s="346"/>
    </row>
    <row r="311">
      <c r="D311" s="345"/>
      <c r="I311" s="346"/>
    </row>
    <row r="312">
      <c r="D312" s="345"/>
      <c r="I312" s="346"/>
    </row>
    <row r="313">
      <c r="D313" s="345"/>
      <c r="I313" s="346"/>
    </row>
    <row r="314">
      <c r="D314" s="345"/>
      <c r="I314" s="346"/>
    </row>
    <row r="315">
      <c r="D315" s="345"/>
      <c r="I315" s="346"/>
    </row>
    <row r="316">
      <c r="D316" s="345"/>
      <c r="I316" s="346"/>
    </row>
    <row r="317">
      <c r="D317" s="345"/>
      <c r="I317" s="346"/>
    </row>
    <row r="318">
      <c r="D318" s="345"/>
      <c r="I318" s="346"/>
    </row>
    <row r="319">
      <c r="D319" s="345"/>
      <c r="I319" s="346"/>
    </row>
    <row r="320">
      <c r="D320" s="345"/>
      <c r="I320" s="346"/>
    </row>
    <row r="321">
      <c r="D321" s="345"/>
      <c r="I321" s="346"/>
    </row>
    <row r="322">
      <c r="D322" s="345"/>
      <c r="I322" s="346"/>
    </row>
    <row r="323">
      <c r="D323" s="345"/>
      <c r="I323" s="346"/>
    </row>
    <row r="324">
      <c r="D324" s="345"/>
      <c r="I324" s="346"/>
    </row>
    <row r="325">
      <c r="D325" s="345"/>
      <c r="I325" s="346"/>
    </row>
    <row r="326">
      <c r="D326" s="345"/>
      <c r="I326" s="346"/>
    </row>
    <row r="327">
      <c r="D327" s="345"/>
      <c r="I327" s="346"/>
    </row>
    <row r="328">
      <c r="D328" s="345"/>
      <c r="I328" s="346"/>
    </row>
    <row r="329">
      <c r="D329" s="345"/>
      <c r="I329" s="346"/>
    </row>
    <row r="330">
      <c r="D330" s="345"/>
      <c r="I330" s="346"/>
    </row>
    <row r="331">
      <c r="D331" s="345"/>
      <c r="I331" s="346"/>
    </row>
    <row r="332">
      <c r="D332" s="345"/>
      <c r="I332" s="346"/>
    </row>
    <row r="333">
      <c r="D333" s="345"/>
      <c r="I333" s="346"/>
    </row>
    <row r="334">
      <c r="D334" s="345"/>
      <c r="I334" s="346"/>
    </row>
    <row r="335">
      <c r="D335" s="345"/>
      <c r="I335" s="346"/>
    </row>
    <row r="336">
      <c r="D336" s="345"/>
      <c r="I336" s="346"/>
    </row>
    <row r="337">
      <c r="D337" s="345"/>
      <c r="I337" s="346"/>
    </row>
    <row r="338">
      <c r="D338" s="345"/>
      <c r="I338" s="346"/>
    </row>
    <row r="339">
      <c r="D339" s="345"/>
      <c r="I339" s="346"/>
    </row>
    <row r="340">
      <c r="D340" s="345"/>
      <c r="I340" s="346"/>
    </row>
    <row r="341">
      <c r="D341" s="345"/>
      <c r="I341" s="346"/>
    </row>
    <row r="342">
      <c r="D342" s="345"/>
      <c r="I342" s="346"/>
    </row>
    <row r="343">
      <c r="D343" s="345"/>
      <c r="I343" s="346"/>
    </row>
    <row r="344">
      <c r="D344" s="345"/>
      <c r="I344" s="346"/>
    </row>
    <row r="345">
      <c r="D345" s="345"/>
      <c r="I345" s="346"/>
    </row>
    <row r="346">
      <c r="D346" s="345"/>
      <c r="I346" s="346"/>
    </row>
    <row r="347">
      <c r="D347" s="345"/>
      <c r="I347" s="346"/>
    </row>
    <row r="348">
      <c r="D348" s="345"/>
      <c r="I348" s="346"/>
    </row>
    <row r="349">
      <c r="D349" s="345"/>
      <c r="I349" s="346"/>
    </row>
    <row r="350">
      <c r="D350" s="345"/>
      <c r="I350" s="346"/>
    </row>
    <row r="351">
      <c r="D351" s="345"/>
      <c r="I351" s="346"/>
    </row>
    <row r="352">
      <c r="D352" s="345"/>
      <c r="I352" s="346"/>
    </row>
    <row r="353">
      <c r="D353" s="345"/>
      <c r="I353" s="346"/>
    </row>
    <row r="354">
      <c r="D354" s="345"/>
      <c r="I354" s="346"/>
    </row>
    <row r="355">
      <c r="D355" s="345"/>
      <c r="I355" s="346"/>
    </row>
    <row r="356">
      <c r="D356" s="345"/>
      <c r="I356" s="346"/>
    </row>
    <row r="357">
      <c r="D357" s="345"/>
      <c r="I357" s="346"/>
    </row>
    <row r="358">
      <c r="D358" s="345"/>
      <c r="I358" s="346"/>
    </row>
    <row r="359">
      <c r="D359" s="345"/>
      <c r="I359" s="346"/>
    </row>
    <row r="360">
      <c r="D360" s="345"/>
      <c r="I360" s="346"/>
    </row>
    <row r="361">
      <c r="D361" s="345"/>
      <c r="I361" s="346"/>
    </row>
    <row r="362">
      <c r="D362" s="345"/>
      <c r="I362" s="346"/>
    </row>
    <row r="363">
      <c r="D363" s="345"/>
      <c r="I363" s="346"/>
    </row>
    <row r="364">
      <c r="D364" s="345"/>
      <c r="I364" s="346"/>
    </row>
    <row r="365">
      <c r="D365" s="345"/>
      <c r="I365" s="346"/>
    </row>
    <row r="366">
      <c r="D366" s="345"/>
      <c r="I366" s="346"/>
    </row>
    <row r="367">
      <c r="D367" s="345"/>
      <c r="I367" s="346"/>
    </row>
    <row r="368">
      <c r="D368" s="345"/>
      <c r="I368" s="346"/>
    </row>
    <row r="369">
      <c r="D369" s="345"/>
      <c r="I369" s="346"/>
    </row>
    <row r="370">
      <c r="D370" s="345"/>
      <c r="I370" s="346"/>
    </row>
    <row r="371">
      <c r="D371" s="345"/>
      <c r="I371" s="346"/>
    </row>
    <row r="372">
      <c r="D372" s="345"/>
      <c r="I372" s="346"/>
    </row>
    <row r="373">
      <c r="D373" s="345"/>
      <c r="I373" s="346"/>
    </row>
    <row r="374">
      <c r="D374" s="345"/>
      <c r="I374" s="346"/>
    </row>
    <row r="375">
      <c r="D375" s="345"/>
      <c r="I375" s="346"/>
    </row>
    <row r="376">
      <c r="D376" s="345"/>
      <c r="I376" s="346"/>
    </row>
    <row r="377">
      <c r="D377" s="345"/>
      <c r="I377" s="346"/>
    </row>
    <row r="378">
      <c r="D378" s="345"/>
      <c r="I378" s="346"/>
    </row>
    <row r="379">
      <c r="D379" s="345"/>
      <c r="I379" s="346"/>
    </row>
    <row r="380">
      <c r="D380" s="345"/>
      <c r="I380" s="346"/>
    </row>
    <row r="381">
      <c r="D381" s="345"/>
      <c r="I381" s="346"/>
    </row>
    <row r="382">
      <c r="D382" s="345"/>
      <c r="I382" s="346"/>
    </row>
    <row r="383">
      <c r="D383" s="345"/>
      <c r="I383" s="346"/>
    </row>
    <row r="384">
      <c r="D384" s="345"/>
      <c r="I384" s="346"/>
    </row>
    <row r="385">
      <c r="D385" s="345"/>
      <c r="I385" s="346"/>
    </row>
    <row r="386">
      <c r="D386" s="345"/>
      <c r="I386" s="346"/>
    </row>
    <row r="387">
      <c r="D387" s="345"/>
      <c r="I387" s="346"/>
    </row>
    <row r="388">
      <c r="D388" s="345"/>
      <c r="I388" s="346"/>
    </row>
    <row r="389">
      <c r="D389" s="345"/>
      <c r="I389" s="346"/>
    </row>
    <row r="390">
      <c r="D390" s="345"/>
      <c r="I390" s="346"/>
    </row>
    <row r="391">
      <c r="D391" s="345"/>
      <c r="I391" s="346"/>
    </row>
    <row r="392">
      <c r="D392" s="345"/>
      <c r="I392" s="346"/>
    </row>
    <row r="393">
      <c r="D393" s="345"/>
      <c r="I393" s="346"/>
    </row>
    <row r="394">
      <c r="D394" s="345"/>
      <c r="I394" s="346"/>
    </row>
    <row r="395">
      <c r="D395" s="345"/>
      <c r="I395" s="346"/>
    </row>
    <row r="396">
      <c r="D396" s="345"/>
      <c r="I396" s="346"/>
    </row>
    <row r="397">
      <c r="D397" s="345"/>
      <c r="I397" s="346"/>
    </row>
    <row r="398">
      <c r="D398" s="345"/>
      <c r="I398" s="346"/>
    </row>
    <row r="399">
      <c r="D399" s="345"/>
      <c r="I399" s="346"/>
    </row>
    <row r="400">
      <c r="D400" s="345"/>
      <c r="I400" s="346"/>
    </row>
    <row r="401">
      <c r="D401" s="345"/>
      <c r="I401" s="346"/>
    </row>
    <row r="402">
      <c r="D402" s="345"/>
      <c r="I402" s="346"/>
    </row>
    <row r="403">
      <c r="D403" s="345"/>
      <c r="I403" s="346"/>
    </row>
    <row r="404">
      <c r="D404" s="345"/>
      <c r="I404" s="346"/>
    </row>
    <row r="405">
      <c r="D405" s="345"/>
      <c r="I405" s="346"/>
    </row>
    <row r="406">
      <c r="D406" s="345"/>
      <c r="I406" s="346"/>
    </row>
    <row r="407">
      <c r="D407" s="345"/>
      <c r="I407" s="346"/>
    </row>
    <row r="408">
      <c r="D408" s="345"/>
      <c r="I408" s="346"/>
    </row>
    <row r="409">
      <c r="D409" s="345"/>
      <c r="I409" s="346"/>
    </row>
    <row r="410">
      <c r="D410" s="345"/>
      <c r="I410" s="346"/>
    </row>
    <row r="411">
      <c r="D411" s="345"/>
      <c r="I411" s="346"/>
    </row>
    <row r="412">
      <c r="D412" s="345"/>
      <c r="I412" s="346"/>
    </row>
    <row r="413">
      <c r="D413" s="345"/>
      <c r="I413" s="346"/>
    </row>
    <row r="414">
      <c r="D414" s="345"/>
      <c r="I414" s="346"/>
    </row>
    <row r="415">
      <c r="D415" s="345"/>
      <c r="I415" s="346"/>
    </row>
    <row r="416">
      <c r="D416" s="345"/>
      <c r="I416" s="346"/>
    </row>
    <row r="417">
      <c r="D417" s="345"/>
      <c r="I417" s="346"/>
    </row>
    <row r="418">
      <c r="D418" s="345"/>
      <c r="I418" s="346"/>
    </row>
    <row r="419">
      <c r="D419" s="345"/>
      <c r="I419" s="346"/>
    </row>
    <row r="420">
      <c r="D420" s="345"/>
      <c r="I420" s="346"/>
    </row>
    <row r="421">
      <c r="D421" s="345"/>
      <c r="I421" s="346"/>
    </row>
    <row r="422">
      <c r="D422" s="345"/>
      <c r="I422" s="346"/>
    </row>
    <row r="423">
      <c r="D423" s="345"/>
      <c r="I423" s="346"/>
    </row>
    <row r="424">
      <c r="D424" s="345"/>
      <c r="I424" s="346"/>
    </row>
    <row r="425">
      <c r="D425" s="345"/>
      <c r="I425" s="346"/>
    </row>
    <row r="426">
      <c r="D426" s="345"/>
      <c r="I426" s="346"/>
    </row>
    <row r="427">
      <c r="D427" s="345"/>
      <c r="I427" s="346"/>
    </row>
    <row r="428">
      <c r="D428" s="345"/>
      <c r="I428" s="346"/>
    </row>
    <row r="429">
      <c r="D429" s="345"/>
      <c r="I429" s="346"/>
    </row>
    <row r="430">
      <c r="D430" s="345"/>
      <c r="I430" s="346"/>
    </row>
    <row r="431">
      <c r="D431" s="345"/>
      <c r="I431" s="346"/>
    </row>
    <row r="432">
      <c r="D432" s="345"/>
      <c r="I432" s="346"/>
    </row>
    <row r="433">
      <c r="D433" s="345"/>
      <c r="I433" s="346"/>
    </row>
    <row r="434">
      <c r="D434" s="345"/>
      <c r="I434" s="346"/>
    </row>
    <row r="435">
      <c r="D435" s="345"/>
      <c r="I435" s="346"/>
    </row>
    <row r="436">
      <c r="D436" s="345"/>
      <c r="I436" s="346"/>
    </row>
    <row r="437">
      <c r="D437" s="345"/>
      <c r="I437" s="346"/>
    </row>
    <row r="438">
      <c r="D438" s="345"/>
      <c r="I438" s="346"/>
    </row>
    <row r="439">
      <c r="D439" s="345"/>
      <c r="I439" s="346"/>
    </row>
    <row r="440">
      <c r="D440" s="345"/>
      <c r="I440" s="346"/>
    </row>
    <row r="441">
      <c r="D441" s="345"/>
      <c r="I441" s="346"/>
    </row>
    <row r="442">
      <c r="D442" s="345"/>
      <c r="I442" s="346"/>
    </row>
    <row r="443">
      <c r="D443" s="345"/>
      <c r="I443" s="346"/>
    </row>
    <row r="444">
      <c r="D444" s="345"/>
      <c r="I444" s="346"/>
    </row>
    <row r="445">
      <c r="D445" s="345"/>
      <c r="I445" s="346"/>
    </row>
    <row r="446">
      <c r="D446" s="345"/>
      <c r="I446" s="346"/>
    </row>
    <row r="447">
      <c r="D447" s="345"/>
      <c r="I447" s="346"/>
    </row>
    <row r="448">
      <c r="D448" s="345"/>
      <c r="I448" s="346"/>
    </row>
    <row r="449">
      <c r="D449" s="345"/>
      <c r="I449" s="346"/>
    </row>
    <row r="450">
      <c r="D450" s="345"/>
      <c r="I450" s="346"/>
    </row>
    <row r="451">
      <c r="D451" s="345"/>
      <c r="I451" s="346"/>
    </row>
    <row r="452">
      <c r="D452" s="345"/>
      <c r="I452" s="346"/>
    </row>
    <row r="453">
      <c r="D453" s="345"/>
      <c r="I453" s="346"/>
    </row>
    <row r="454">
      <c r="D454" s="345"/>
      <c r="I454" s="346"/>
    </row>
    <row r="455">
      <c r="D455" s="345"/>
      <c r="I455" s="346"/>
    </row>
    <row r="456">
      <c r="D456" s="345"/>
      <c r="I456" s="346"/>
    </row>
    <row r="457">
      <c r="D457" s="345"/>
      <c r="I457" s="346"/>
    </row>
    <row r="458">
      <c r="D458" s="345"/>
      <c r="I458" s="346"/>
    </row>
    <row r="459">
      <c r="D459" s="345"/>
      <c r="I459" s="346"/>
    </row>
    <row r="460">
      <c r="D460" s="345"/>
      <c r="I460" s="346"/>
    </row>
    <row r="461">
      <c r="D461" s="345"/>
      <c r="I461" s="346"/>
    </row>
    <row r="462">
      <c r="D462" s="345"/>
      <c r="I462" s="346"/>
    </row>
    <row r="463">
      <c r="D463" s="345"/>
      <c r="I463" s="346"/>
    </row>
    <row r="464">
      <c r="D464" s="345"/>
      <c r="I464" s="346"/>
    </row>
    <row r="465">
      <c r="D465" s="345"/>
      <c r="I465" s="346"/>
    </row>
    <row r="466">
      <c r="D466" s="345"/>
      <c r="I466" s="346"/>
    </row>
    <row r="467">
      <c r="D467" s="345"/>
      <c r="I467" s="346"/>
    </row>
    <row r="468">
      <c r="D468" s="345"/>
      <c r="I468" s="346"/>
    </row>
    <row r="469">
      <c r="D469" s="345"/>
      <c r="I469" s="346"/>
    </row>
    <row r="470">
      <c r="D470" s="345"/>
      <c r="I470" s="346"/>
    </row>
    <row r="471">
      <c r="D471" s="345"/>
      <c r="I471" s="346"/>
    </row>
    <row r="472">
      <c r="D472" s="345"/>
      <c r="I472" s="346"/>
    </row>
    <row r="473">
      <c r="D473" s="345"/>
      <c r="I473" s="346"/>
    </row>
    <row r="474">
      <c r="D474" s="345"/>
      <c r="I474" s="346"/>
    </row>
    <row r="475">
      <c r="D475" s="345"/>
      <c r="I475" s="346"/>
    </row>
    <row r="476">
      <c r="D476" s="345"/>
      <c r="I476" s="346"/>
    </row>
    <row r="477">
      <c r="D477" s="345"/>
      <c r="I477" s="346"/>
    </row>
    <row r="478">
      <c r="D478" s="345"/>
      <c r="I478" s="346"/>
    </row>
    <row r="479">
      <c r="D479" s="345"/>
      <c r="I479" s="346"/>
    </row>
    <row r="480">
      <c r="D480" s="345"/>
      <c r="I480" s="346"/>
    </row>
    <row r="481">
      <c r="D481" s="345"/>
      <c r="I481" s="346"/>
    </row>
    <row r="482">
      <c r="D482" s="345"/>
      <c r="I482" s="346"/>
    </row>
    <row r="483">
      <c r="D483" s="345"/>
      <c r="I483" s="346"/>
    </row>
    <row r="484">
      <c r="D484" s="345"/>
      <c r="I484" s="346"/>
    </row>
    <row r="485">
      <c r="D485" s="345"/>
      <c r="I485" s="346"/>
    </row>
    <row r="486">
      <c r="D486" s="345"/>
      <c r="I486" s="346"/>
    </row>
    <row r="487">
      <c r="D487" s="345"/>
      <c r="I487" s="346"/>
    </row>
    <row r="488">
      <c r="D488" s="345"/>
      <c r="I488" s="346"/>
    </row>
    <row r="489">
      <c r="D489" s="345"/>
      <c r="I489" s="346"/>
    </row>
    <row r="490">
      <c r="D490" s="345"/>
      <c r="I490" s="346"/>
    </row>
    <row r="491">
      <c r="D491" s="345"/>
      <c r="I491" s="346"/>
    </row>
    <row r="492">
      <c r="D492" s="345"/>
      <c r="I492" s="346"/>
    </row>
    <row r="493">
      <c r="D493" s="345"/>
      <c r="I493" s="346"/>
    </row>
    <row r="494">
      <c r="D494" s="345"/>
      <c r="I494" s="346"/>
    </row>
    <row r="495">
      <c r="D495" s="345"/>
      <c r="I495" s="346"/>
    </row>
    <row r="496">
      <c r="D496" s="345"/>
      <c r="I496" s="346"/>
    </row>
    <row r="497">
      <c r="D497" s="345"/>
      <c r="I497" s="346"/>
    </row>
    <row r="498">
      <c r="D498" s="345"/>
      <c r="I498" s="346"/>
    </row>
    <row r="499">
      <c r="D499" s="345"/>
      <c r="I499" s="346"/>
    </row>
    <row r="500">
      <c r="D500" s="345"/>
      <c r="I500" s="346"/>
    </row>
    <row r="501">
      <c r="D501" s="345"/>
      <c r="I501" s="346"/>
    </row>
    <row r="502">
      <c r="D502" s="345"/>
      <c r="I502" s="346"/>
    </row>
    <row r="503">
      <c r="D503" s="345"/>
      <c r="I503" s="346"/>
    </row>
    <row r="504">
      <c r="D504" s="345"/>
      <c r="I504" s="346"/>
    </row>
    <row r="505">
      <c r="D505" s="345"/>
      <c r="I505" s="346"/>
    </row>
    <row r="506">
      <c r="D506" s="345"/>
      <c r="I506" s="346"/>
    </row>
    <row r="507">
      <c r="D507" s="345"/>
      <c r="I507" s="346"/>
    </row>
    <row r="508">
      <c r="D508" s="345"/>
      <c r="I508" s="346"/>
    </row>
    <row r="509">
      <c r="D509" s="345"/>
      <c r="I509" s="346"/>
    </row>
    <row r="510">
      <c r="D510" s="345"/>
      <c r="I510" s="346"/>
    </row>
    <row r="511">
      <c r="D511" s="345"/>
      <c r="I511" s="346"/>
    </row>
    <row r="512">
      <c r="D512" s="345"/>
      <c r="I512" s="346"/>
    </row>
    <row r="513">
      <c r="D513" s="345"/>
      <c r="I513" s="346"/>
    </row>
    <row r="514">
      <c r="D514" s="345"/>
      <c r="I514" s="346"/>
    </row>
    <row r="515">
      <c r="D515" s="345"/>
      <c r="I515" s="346"/>
    </row>
    <row r="516">
      <c r="D516" s="345"/>
      <c r="I516" s="346"/>
    </row>
    <row r="517">
      <c r="D517" s="345"/>
      <c r="I517" s="346"/>
    </row>
    <row r="518">
      <c r="D518" s="345"/>
      <c r="I518" s="346"/>
    </row>
    <row r="519">
      <c r="D519" s="345"/>
      <c r="I519" s="346"/>
    </row>
    <row r="520">
      <c r="D520" s="345"/>
      <c r="I520" s="346"/>
    </row>
    <row r="521">
      <c r="D521" s="345"/>
      <c r="I521" s="346"/>
    </row>
    <row r="522">
      <c r="D522" s="345"/>
      <c r="I522" s="346"/>
    </row>
    <row r="523">
      <c r="D523" s="345"/>
      <c r="I523" s="346"/>
    </row>
    <row r="524">
      <c r="D524" s="345"/>
      <c r="I524" s="346"/>
    </row>
    <row r="525">
      <c r="D525" s="345"/>
      <c r="I525" s="346"/>
    </row>
    <row r="526">
      <c r="D526" s="345"/>
      <c r="I526" s="346"/>
    </row>
    <row r="527">
      <c r="D527" s="345"/>
      <c r="I527" s="346"/>
    </row>
    <row r="528">
      <c r="D528" s="345"/>
      <c r="I528" s="346"/>
    </row>
    <row r="529">
      <c r="D529" s="345"/>
      <c r="I529" s="346"/>
    </row>
    <row r="530">
      <c r="D530" s="345"/>
      <c r="I530" s="346"/>
    </row>
    <row r="531">
      <c r="D531" s="345"/>
      <c r="I531" s="346"/>
    </row>
    <row r="532">
      <c r="D532" s="345"/>
      <c r="I532" s="346"/>
    </row>
    <row r="533">
      <c r="D533" s="345"/>
      <c r="I533" s="346"/>
    </row>
    <row r="534">
      <c r="D534" s="345"/>
      <c r="I534" s="346"/>
    </row>
    <row r="535">
      <c r="D535" s="345"/>
      <c r="I535" s="346"/>
    </row>
    <row r="536">
      <c r="D536" s="345"/>
      <c r="I536" s="346"/>
    </row>
    <row r="537">
      <c r="D537" s="345"/>
      <c r="I537" s="346"/>
    </row>
    <row r="538">
      <c r="D538" s="345"/>
      <c r="I538" s="346"/>
    </row>
    <row r="539">
      <c r="D539" s="345"/>
      <c r="I539" s="346"/>
    </row>
    <row r="540">
      <c r="D540" s="345"/>
      <c r="I540" s="346"/>
    </row>
    <row r="541">
      <c r="D541" s="345"/>
      <c r="I541" s="346"/>
    </row>
    <row r="542">
      <c r="D542" s="345"/>
      <c r="I542" s="346"/>
    </row>
    <row r="543">
      <c r="D543" s="345"/>
      <c r="I543" s="346"/>
    </row>
    <row r="544">
      <c r="D544" s="345"/>
      <c r="I544" s="346"/>
    </row>
    <row r="545">
      <c r="D545" s="345"/>
      <c r="I545" s="346"/>
    </row>
    <row r="546">
      <c r="D546" s="345"/>
      <c r="I546" s="346"/>
    </row>
    <row r="547">
      <c r="D547" s="345"/>
      <c r="I547" s="346"/>
    </row>
    <row r="548">
      <c r="D548" s="345"/>
      <c r="I548" s="346"/>
    </row>
    <row r="549">
      <c r="D549" s="345"/>
      <c r="I549" s="346"/>
    </row>
    <row r="550">
      <c r="D550" s="345"/>
      <c r="I550" s="346"/>
    </row>
    <row r="551">
      <c r="D551" s="345"/>
      <c r="I551" s="346"/>
    </row>
    <row r="552">
      <c r="D552" s="345"/>
      <c r="I552" s="346"/>
    </row>
    <row r="553">
      <c r="D553" s="345"/>
      <c r="I553" s="346"/>
    </row>
    <row r="554">
      <c r="D554" s="345"/>
      <c r="I554" s="346"/>
    </row>
    <row r="555">
      <c r="D555" s="345"/>
      <c r="I555" s="346"/>
    </row>
    <row r="556">
      <c r="D556" s="345"/>
      <c r="I556" s="346"/>
    </row>
    <row r="557">
      <c r="D557" s="345"/>
      <c r="I557" s="346"/>
    </row>
    <row r="558">
      <c r="D558" s="345"/>
      <c r="I558" s="346"/>
    </row>
    <row r="559">
      <c r="D559" s="345"/>
      <c r="I559" s="346"/>
    </row>
    <row r="560">
      <c r="D560" s="345"/>
      <c r="I560" s="346"/>
    </row>
    <row r="561">
      <c r="D561" s="345"/>
      <c r="I561" s="346"/>
    </row>
    <row r="562">
      <c r="D562" s="345"/>
      <c r="I562" s="346"/>
    </row>
    <row r="563">
      <c r="D563" s="345"/>
      <c r="I563" s="346"/>
    </row>
    <row r="564">
      <c r="D564" s="345"/>
      <c r="I564" s="346"/>
    </row>
    <row r="565">
      <c r="D565" s="345"/>
      <c r="I565" s="346"/>
    </row>
    <row r="566">
      <c r="D566" s="345"/>
      <c r="I566" s="346"/>
    </row>
    <row r="567">
      <c r="D567" s="345"/>
      <c r="I567" s="346"/>
    </row>
    <row r="568">
      <c r="D568" s="345"/>
      <c r="I568" s="346"/>
    </row>
    <row r="569">
      <c r="D569" s="345"/>
      <c r="I569" s="346"/>
    </row>
    <row r="570">
      <c r="D570" s="345"/>
      <c r="I570" s="346"/>
    </row>
    <row r="571">
      <c r="D571" s="345"/>
      <c r="I571" s="346"/>
    </row>
    <row r="572">
      <c r="D572" s="345"/>
      <c r="I572" s="346"/>
    </row>
    <row r="573">
      <c r="D573" s="345"/>
      <c r="I573" s="346"/>
    </row>
    <row r="574">
      <c r="D574" s="345"/>
      <c r="I574" s="346"/>
    </row>
    <row r="575">
      <c r="D575" s="345"/>
      <c r="I575" s="346"/>
    </row>
    <row r="576">
      <c r="D576" s="345"/>
      <c r="I576" s="346"/>
    </row>
    <row r="577">
      <c r="D577" s="345"/>
      <c r="I577" s="346"/>
    </row>
    <row r="578">
      <c r="D578" s="345"/>
      <c r="I578" s="346"/>
    </row>
    <row r="579">
      <c r="D579" s="345"/>
      <c r="I579" s="346"/>
    </row>
    <row r="580">
      <c r="D580" s="345"/>
      <c r="I580" s="346"/>
    </row>
    <row r="581">
      <c r="D581" s="345"/>
      <c r="I581" s="346"/>
    </row>
    <row r="582">
      <c r="D582" s="345"/>
      <c r="I582" s="346"/>
    </row>
    <row r="583">
      <c r="D583" s="345"/>
      <c r="I583" s="346"/>
    </row>
    <row r="584">
      <c r="D584" s="345"/>
      <c r="I584" s="346"/>
    </row>
    <row r="585">
      <c r="D585" s="345"/>
      <c r="I585" s="346"/>
    </row>
    <row r="586">
      <c r="D586" s="345"/>
      <c r="I586" s="346"/>
    </row>
    <row r="587">
      <c r="D587" s="345"/>
      <c r="I587" s="346"/>
    </row>
    <row r="588">
      <c r="D588" s="345"/>
      <c r="I588" s="346"/>
    </row>
    <row r="589">
      <c r="D589" s="345"/>
      <c r="I589" s="346"/>
    </row>
    <row r="590">
      <c r="D590" s="345"/>
      <c r="I590" s="346"/>
    </row>
    <row r="591">
      <c r="D591" s="345"/>
      <c r="I591" s="346"/>
    </row>
    <row r="592">
      <c r="D592" s="345"/>
      <c r="I592" s="346"/>
    </row>
    <row r="593">
      <c r="D593" s="345"/>
      <c r="I593" s="346"/>
    </row>
    <row r="594">
      <c r="D594" s="345"/>
      <c r="I594" s="346"/>
    </row>
    <row r="595">
      <c r="D595" s="345"/>
      <c r="I595" s="346"/>
    </row>
    <row r="596">
      <c r="D596" s="345"/>
      <c r="I596" s="346"/>
    </row>
    <row r="597">
      <c r="D597" s="345"/>
      <c r="I597" s="346"/>
    </row>
    <row r="598">
      <c r="D598" s="345"/>
      <c r="I598" s="346"/>
    </row>
    <row r="599">
      <c r="D599" s="345"/>
      <c r="I599" s="346"/>
    </row>
    <row r="600">
      <c r="D600" s="345"/>
      <c r="I600" s="346"/>
    </row>
    <row r="601">
      <c r="D601" s="345"/>
      <c r="I601" s="346"/>
    </row>
    <row r="602">
      <c r="D602" s="345"/>
      <c r="I602" s="346"/>
    </row>
    <row r="603">
      <c r="D603" s="345"/>
      <c r="I603" s="346"/>
    </row>
    <row r="604">
      <c r="D604" s="345"/>
      <c r="I604" s="346"/>
    </row>
    <row r="605">
      <c r="D605" s="345"/>
      <c r="I605" s="346"/>
    </row>
    <row r="606">
      <c r="D606" s="345"/>
      <c r="I606" s="346"/>
    </row>
    <row r="607">
      <c r="D607" s="345"/>
      <c r="I607" s="346"/>
    </row>
    <row r="608">
      <c r="D608" s="345"/>
      <c r="I608" s="346"/>
    </row>
    <row r="609">
      <c r="D609" s="345"/>
      <c r="I609" s="346"/>
    </row>
    <row r="610">
      <c r="D610" s="345"/>
      <c r="I610" s="346"/>
    </row>
    <row r="611">
      <c r="D611" s="345"/>
      <c r="I611" s="346"/>
    </row>
    <row r="612">
      <c r="D612" s="345"/>
      <c r="I612" s="346"/>
    </row>
    <row r="613">
      <c r="D613" s="345"/>
      <c r="I613" s="346"/>
    </row>
    <row r="614">
      <c r="D614" s="345"/>
      <c r="I614" s="346"/>
    </row>
    <row r="615">
      <c r="D615" s="345"/>
      <c r="I615" s="346"/>
    </row>
    <row r="616">
      <c r="D616" s="345"/>
      <c r="I616" s="346"/>
    </row>
    <row r="617">
      <c r="D617" s="345"/>
      <c r="I617" s="346"/>
    </row>
    <row r="618">
      <c r="D618" s="345"/>
      <c r="I618" s="346"/>
    </row>
    <row r="619">
      <c r="D619" s="345"/>
      <c r="I619" s="346"/>
    </row>
    <row r="620">
      <c r="D620" s="345"/>
      <c r="I620" s="346"/>
    </row>
    <row r="621">
      <c r="D621" s="345"/>
      <c r="I621" s="346"/>
    </row>
    <row r="622">
      <c r="D622" s="345"/>
      <c r="I622" s="346"/>
    </row>
    <row r="623">
      <c r="D623" s="345"/>
      <c r="I623" s="346"/>
    </row>
    <row r="624">
      <c r="D624" s="345"/>
      <c r="I624" s="346"/>
    </row>
    <row r="625">
      <c r="D625" s="345"/>
      <c r="I625" s="346"/>
    </row>
    <row r="626">
      <c r="D626" s="345"/>
      <c r="I626" s="346"/>
    </row>
    <row r="627">
      <c r="D627" s="345"/>
      <c r="I627" s="346"/>
    </row>
    <row r="628">
      <c r="D628" s="345"/>
      <c r="I628" s="346"/>
    </row>
    <row r="629">
      <c r="D629" s="345"/>
      <c r="I629" s="346"/>
    </row>
    <row r="630">
      <c r="D630" s="345"/>
      <c r="I630" s="346"/>
    </row>
    <row r="631">
      <c r="D631" s="345"/>
      <c r="I631" s="346"/>
    </row>
    <row r="632">
      <c r="D632" s="345"/>
      <c r="I632" s="346"/>
    </row>
    <row r="633">
      <c r="D633" s="345"/>
      <c r="I633" s="346"/>
    </row>
    <row r="634">
      <c r="D634" s="345"/>
      <c r="I634" s="346"/>
    </row>
    <row r="635">
      <c r="D635" s="345"/>
      <c r="I635" s="346"/>
    </row>
    <row r="636">
      <c r="D636" s="345"/>
      <c r="I636" s="346"/>
    </row>
    <row r="637">
      <c r="D637" s="345"/>
      <c r="I637" s="346"/>
    </row>
    <row r="638">
      <c r="D638" s="345"/>
      <c r="I638" s="346"/>
    </row>
    <row r="639">
      <c r="D639" s="345"/>
      <c r="I639" s="346"/>
    </row>
    <row r="640">
      <c r="D640" s="345"/>
      <c r="I640" s="346"/>
    </row>
    <row r="641">
      <c r="D641" s="345"/>
      <c r="I641" s="346"/>
    </row>
    <row r="642">
      <c r="D642" s="345"/>
      <c r="I642" s="346"/>
    </row>
    <row r="643">
      <c r="D643" s="345"/>
      <c r="I643" s="346"/>
    </row>
    <row r="644">
      <c r="D644" s="345"/>
      <c r="I644" s="346"/>
    </row>
    <row r="645">
      <c r="D645" s="345"/>
      <c r="I645" s="346"/>
    </row>
    <row r="646">
      <c r="D646" s="345"/>
      <c r="I646" s="346"/>
    </row>
    <row r="647">
      <c r="D647" s="345"/>
      <c r="I647" s="346"/>
    </row>
    <row r="648">
      <c r="D648" s="345"/>
      <c r="I648" s="346"/>
    </row>
    <row r="649">
      <c r="D649" s="345"/>
      <c r="I649" s="346"/>
    </row>
    <row r="650">
      <c r="D650" s="345"/>
      <c r="I650" s="346"/>
    </row>
    <row r="651">
      <c r="D651" s="345"/>
      <c r="I651" s="346"/>
    </row>
    <row r="652">
      <c r="D652" s="345"/>
      <c r="I652" s="346"/>
    </row>
    <row r="653">
      <c r="D653" s="345"/>
      <c r="I653" s="346"/>
    </row>
    <row r="654">
      <c r="D654" s="345"/>
      <c r="I654" s="346"/>
    </row>
    <row r="655">
      <c r="D655" s="345"/>
      <c r="I655" s="346"/>
    </row>
    <row r="656">
      <c r="D656" s="345"/>
      <c r="I656" s="346"/>
    </row>
    <row r="657">
      <c r="D657" s="345"/>
      <c r="I657" s="346"/>
    </row>
    <row r="658">
      <c r="D658" s="345"/>
      <c r="I658" s="346"/>
    </row>
    <row r="659">
      <c r="D659" s="345"/>
      <c r="I659" s="346"/>
    </row>
    <row r="660">
      <c r="D660" s="345"/>
      <c r="I660" s="346"/>
    </row>
    <row r="661">
      <c r="D661" s="345"/>
      <c r="I661" s="346"/>
    </row>
    <row r="662">
      <c r="D662" s="345"/>
      <c r="I662" s="346"/>
    </row>
    <row r="663">
      <c r="D663" s="345"/>
      <c r="I663" s="346"/>
    </row>
    <row r="664">
      <c r="D664" s="345"/>
      <c r="I664" s="346"/>
    </row>
    <row r="665">
      <c r="D665" s="345"/>
      <c r="I665" s="346"/>
    </row>
    <row r="666">
      <c r="D666" s="345"/>
      <c r="I666" s="346"/>
    </row>
    <row r="667">
      <c r="D667" s="345"/>
      <c r="I667" s="346"/>
    </row>
    <row r="668">
      <c r="D668" s="345"/>
      <c r="I668" s="346"/>
    </row>
    <row r="669">
      <c r="D669" s="345"/>
      <c r="I669" s="346"/>
    </row>
    <row r="670">
      <c r="D670" s="345"/>
      <c r="I670" s="346"/>
    </row>
    <row r="671">
      <c r="D671" s="345"/>
      <c r="I671" s="346"/>
    </row>
    <row r="672">
      <c r="D672" s="345"/>
      <c r="I672" s="346"/>
    </row>
    <row r="673">
      <c r="D673" s="345"/>
      <c r="I673" s="346"/>
    </row>
    <row r="674">
      <c r="D674" s="345"/>
      <c r="I674" s="346"/>
    </row>
    <row r="675">
      <c r="D675" s="345"/>
      <c r="I675" s="346"/>
    </row>
    <row r="676">
      <c r="D676" s="345"/>
      <c r="I676" s="346"/>
    </row>
    <row r="677">
      <c r="D677" s="345"/>
      <c r="I677" s="346"/>
    </row>
    <row r="678">
      <c r="D678" s="345"/>
      <c r="I678" s="346"/>
    </row>
    <row r="679">
      <c r="D679" s="345"/>
      <c r="I679" s="346"/>
    </row>
    <row r="680">
      <c r="D680" s="345"/>
      <c r="I680" s="346"/>
    </row>
    <row r="681">
      <c r="D681" s="345"/>
      <c r="I681" s="346"/>
    </row>
    <row r="682">
      <c r="D682" s="345"/>
      <c r="I682" s="346"/>
    </row>
    <row r="683">
      <c r="D683" s="345"/>
      <c r="I683" s="346"/>
    </row>
    <row r="684">
      <c r="D684" s="345"/>
      <c r="I684" s="346"/>
    </row>
    <row r="685">
      <c r="D685" s="345"/>
      <c r="I685" s="346"/>
    </row>
    <row r="686">
      <c r="D686" s="345"/>
      <c r="I686" s="346"/>
    </row>
    <row r="687">
      <c r="D687" s="345"/>
      <c r="I687" s="346"/>
    </row>
    <row r="688">
      <c r="D688" s="345"/>
      <c r="I688" s="346"/>
    </row>
    <row r="689">
      <c r="D689" s="345"/>
      <c r="I689" s="346"/>
    </row>
    <row r="690">
      <c r="D690" s="345"/>
      <c r="I690" s="346"/>
    </row>
    <row r="691">
      <c r="D691" s="345"/>
      <c r="I691" s="346"/>
    </row>
    <row r="692">
      <c r="D692" s="345"/>
      <c r="I692" s="346"/>
    </row>
    <row r="693">
      <c r="D693" s="345"/>
      <c r="I693" s="346"/>
    </row>
    <row r="694">
      <c r="D694" s="345"/>
      <c r="I694" s="346"/>
    </row>
    <row r="695">
      <c r="D695" s="345"/>
      <c r="I695" s="346"/>
    </row>
    <row r="696">
      <c r="D696" s="345"/>
      <c r="I696" s="346"/>
    </row>
    <row r="697">
      <c r="D697" s="345"/>
      <c r="I697" s="346"/>
    </row>
    <row r="698">
      <c r="D698" s="345"/>
      <c r="I698" s="346"/>
    </row>
    <row r="699">
      <c r="D699" s="345"/>
      <c r="I699" s="346"/>
    </row>
    <row r="700">
      <c r="D700" s="345"/>
      <c r="I700" s="346"/>
    </row>
    <row r="701">
      <c r="D701" s="345"/>
      <c r="I701" s="346"/>
    </row>
    <row r="702">
      <c r="D702" s="345"/>
      <c r="I702" s="346"/>
    </row>
    <row r="703">
      <c r="D703" s="345"/>
      <c r="I703" s="346"/>
    </row>
    <row r="704">
      <c r="D704" s="345"/>
      <c r="I704" s="346"/>
    </row>
    <row r="705">
      <c r="D705" s="345"/>
      <c r="I705" s="346"/>
    </row>
    <row r="706">
      <c r="D706" s="345"/>
      <c r="I706" s="346"/>
    </row>
    <row r="707">
      <c r="D707" s="345"/>
      <c r="I707" s="346"/>
    </row>
    <row r="708">
      <c r="D708" s="345"/>
      <c r="I708" s="346"/>
    </row>
    <row r="709">
      <c r="D709" s="345"/>
      <c r="I709" s="346"/>
    </row>
    <row r="710">
      <c r="D710" s="345"/>
      <c r="I710" s="346"/>
    </row>
    <row r="711">
      <c r="D711" s="345"/>
      <c r="I711" s="346"/>
    </row>
    <row r="712">
      <c r="D712" s="345"/>
      <c r="I712" s="346"/>
    </row>
    <row r="713">
      <c r="D713" s="345"/>
      <c r="I713" s="346"/>
    </row>
    <row r="714">
      <c r="D714" s="345"/>
      <c r="I714" s="346"/>
    </row>
    <row r="715">
      <c r="D715" s="345"/>
      <c r="I715" s="346"/>
    </row>
    <row r="716">
      <c r="D716" s="345"/>
      <c r="I716" s="346"/>
    </row>
    <row r="717">
      <c r="D717" s="345"/>
      <c r="I717" s="346"/>
    </row>
    <row r="718">
      <c r="D718" s="345"/>
      <c r="I718" s="346"/>
    </row>
    <row r="719">
      <c r="D719" s="345"/>
      <c r="I719" s="346"/>
    </row>
    <row r="720">
      <c r="D720" s="345"/>
      <c r="I720" s="346"/>
    </row>
    <row r="721">
      <c r="D721" s="345"/>
      <c r="I721" s="346"/>
    </row>
    <row r="722">
      <c r="D722" s="345"/>
      <c r="I722" s="346"/>
    </row>
    <row r="723">
      <c r="D723" s="345"/>
      <c r="I723" s="346"/>
    </row>
    <row r="724">
      <c r="D724" s="345"/>
      <c r="I724" s="346"/>
    </row>
    <row r="725">
      <c r="D725" s="345"/>
      <c r="I725" s="346"/>
    </row>
    <row r="726">
      <c r="D726" s="345"/>
      <c r="I726" s="346"/>
    </row>
    <row r="727">
      <c r="D727" s="345"/>
      <c r="I727" s="346"/>
    </row>
    <row r="728">
      <c r="D728" s="345"/>
      <c r="I728" s="346"/>
    </row>
    <row r="729">
      <c r="D729" s="345"/>
      <c r="I729" s="346"/>
    </row>
    <row r="730">
      <c r="D730" s="345"/>
      <c r="I730" s="346"/>
    </row>
    <row r="731">
      <c r="D731" s="345"/>
      <c r="I731" s="346"/>
    </row>
    <row r="732">
      <c r="D732" s="345"/>
      <c r="I732" s="346"/>
    </row>
    <row r="733">
      <c r="D733" s="345"/>
      <c r="I733" s="346"/>
    </row>
    <row r="734">
      <c r="D734" s="345"/>
      <c r="I734" s="346"/>
    </row>
    <row r="735">
      <c r="D735" s="345"/>
      <c r="I735" s="346"/>
    </row>
    <row r="736">
      <c r="D736" s="345"/>
      <c r="I736" s="346"/>
    </row>
    <row r="737">
      <c r="D737" s="345"/>
      <c r="I737" s="346"/>
    </row>
    <row r="738">
      <c r="D738" s="345"/>
      <c r="I738" s="346"/>
    </row>
    <row r="739">
      <c r="D739" s="345"/>
      <c r="I739" s="346"/>
    </row>
    <row r="740">
      <c r="D740" s="345"/>
      <c r="I740" s="346"/>
    </row>
    <row r="741">
      <c r="D741" s="345"/>
      <c r="I741" s="346"/>
    </row>
    <row r="742">
      <c r="D742" s="345"/>
      <c r="I742" s="346"/>
    </row>
    <row r="743">
      <c r="D743" s="345"/>
      <c r="I743" s="346"/>
    </row>
    <row r="744">
      <c r="D744" s="345"/>
      <c r="I744" s="346"/>
    </row>
    <row r="745">
      <c r="D745" s="345"/>
      <c r="I745" s="346"/>
    </row>
    <row r="746">
      <c r="D746" s="345"/>
      <c r="I746" s="346"/>
    </row>
    <row r="747">
      <c r="D747" s="345"/>
      <c r="I747" s="346"/>
    </row>
    <row r="748">
      <c r="D748" s="345"/>
      <c r="I748" s="346"/>
    </row>
    <row r="749">
      <c r="D749" s="345"/>
      <c r="I749" s="346"/>
    </row>
    <row r="750">
      <c r="D750" s="345"/>
      <c r="I750" s="346"/>
    </row>
    <row r="751">
      <c r="D751" s="345"/>
      <c r="I751" s="346"/>
    </row>
    <row r="752">
      <c r="D752" s="345"/>
      <c r="I752" s="346"/>
    </row>
    <row r="753">
      <c r="D753" s="345"/>
      <c r="I753" s="346"/>
    </row>
    <row r="754">
      <c r="D754" s="345"/>
      <c r="I754" s="346"/>
    </row>
    <row r="755">
      <c r="D755" s="345"/>
      <c r="I755" s="346"/>
    </row>
    <row r="756">
      <c r="D756" s="345"/>
      <c r="I756" s="346"/>
    </row>
    <row r="757">
      <c r="D757" s="345"/>
      <c r="I757" s="346"/>
    </row>
    <row r="758">
      <c r="D758" s="345"/>
      <c r="I758" s="346"/>
    </row>
    <row r="759">
      <c r="D759" s="345"/>
      <c r="I759" s="346"/>
    </row>
    <row r="760">
      <c r="D760" s="345"/>
      <c r="I760" s="346"/>
    </row>
    <row r="761">
      <c r="D761" s="345"/>
      <c r="I761" s="346"/>
    </row>
    <row r="762">
      <c r="D762" s="345"/>
      <c r="I762" s="346"/>
    </row>
    <row r="763">
      <c r="D763" s="345"/>
      <c r="I763" s="346"/>
    </row>
    <row r="764">
      <c r="D764" s="345"/>
      <c r="I764" s="346"/>
    </row>
    <row r="765">
      <c r="D765" s="345"/>
      <c r="I765" s="346"/>
    </row>
    <row r="766">
      <c r="D766" s="345"/>
      <c r="I766" s="346"/>
    </row>
    <row r="767">
      <c r="D767" s="345"/>
      <c r="I767" s="346"/>
    </row>
    <row r="768">
      <c r="D768" s="345"/>
      <c r="I768" s="346"/>
    </row>
    <row r="769">
      <c r="D769" s="345"/>
      <c r="I769" s="346"/>
    </row>
    <row r="770">
      <c r="D770" s="345"/>
      <c r="I770" s="346"/>
    </row>
    <row r="771">
      <c r="D771" s="345"/>
      <c r="I771" s="346"/>
    </row>
    <row r="772">
      <c r="D772" s="345"/>
      <c r="I772" s="346"/>
    </row>
    <row r="773">
      <c r="D773" s="345"/>
      <c r="I773" s="346"/>
    </row>
    <row r="774">
      <c r="D774" s="345"/>
      <c r="I774" s="346"/>
    </row>
    <row r="775">
      <c r="D775" s="345"/>
      <c r="I775" s="346"/>
    </row>
    <row r="776">
      <c r="D776" s="345"/>
      <c r="I776" s="346"/>
    </row>
    <row r="777">
      <c r="D777" s="345"/>
      <c r="I777" s="346"/>
    </row>
    <row r="778">
      <c r="D778" s="345"/>
      <c r="I778" s="346"/>
    </row>
    <row r="779">
      <c r="D779" s="345"/>
      <c r="I779" s="346"/>
    </row>
    <row r="780">
      <c r="D780" s="345"/>
      <c r="I780" s="346"/>
    </row>
    <row r="781">
      <c r="D781" s="345"/>
      <c r="I781" s="346"/>
    </row>
    <row r="782">
      <c r="D782" s="345"/>
      <c r="I782" s="346"/>
    </row>
    <row r="783">
      <c r="D783" s="345"/>
      <c r="I783" s="346"/>
    </row>
    <row r="784">
      <c r="D784" s="345"/>
      <c r="I784" s="346"/>
    </row>
    <row r="785">
      <c r="D785" s="345"/>
      <c r="I785" s="346"/>
    </row>
    <row r="786">
      <c r="D786" s="345"/>
      <c r="I786" s="346"/>
    </row>
    <row r="787">
      <c r="D787" s="345"/>
      <c r="I787" s="346"/>
    </row>
    <row r="788">
      <c r="D788" s="345"/>
      <c r="I788" s="346"/>
    </row>
    <row r="789">
      <c r="D789" s="345"/>
      <c r="I789" s="346"/>
    </row>
    <row r="790">
      <c r="D790" s="345"/>
      <c r="I790" s="346"/>
    </row>
    <row r="791">
      <c r="D791" s="345"/>
      <c r="I791" s="346"/>
    </row>
    <row r="792">
      <c r="D792" s="345"/>
      <c r="I792" s="346"/>
    </row>
    <row r="793">
      <c r="D793" s="345"/>
      <c r="I793" s="346"/>
    </row>
    <row r="794">
      <c r="D794" s="345"/>
      <c r="I794" s="346"/>
    </row>
    <row r="795">
      <c r="D795" s="345"/>
      <c r="I795" s="346"/>
    </row>
    <row r="796">
      <c r="D796" s="345"/>
      <c r="I796" s="346"/>
    </row>
    <row r="797">
      <c r="D797" s="345"/>
      <c r="I797" s="346"/>
    </row>
    <row r="798">
      <c r="D798" s="345"/>
      <c r="I798" s="346"/>
    </row>
    <row r="799">
      <c r="D799" s="345"/>
      <c r="I799" s="346"/>
    </row>
    <row r="800">
      <c r="D800" s="345"/>
      <c r="I800" s="346"/>
    </row>
    <row r="801">
      <c r="D801" s="345"/>
      <c r="I801" s="346"/>
    </row>
    <row r="802">
      <c r="D802" s="345"/>
      <c r="I802" s="346"/>
    </row>
    <row r="803">
      <c r="D803" s="345"/>
      <c r="I803" s="346"/>
    </row>
    <row r="804">
      <c r="D804" s="345"/>
      <c r="I804" s="346"/>
    </row>
    <row r="805">
      <c r="D805" s="345"/>
      <c r="I805" s="346"/>
    </row>
    <row r="806">
      <c r="D806" s="345"/>
      <c r="I806" s="346"/>
    </row>
    <row r="807">
      <c r="D807" s="345"/>
      <c r="I807" s="346"/>
    </row>
    <row r="808">
      <c r="D808" s="345"/>
      <c r="I808" s="346"/>
    </row>
    <row r="809">
      <c r="D809" s="345"/>
      <c r="I809" s="346"/>
    </row>
    <row r="810">
      <c r="D810" s="345"/>
      <c r="I810" s="346"/>
    </row>
    <row r="811">
      <c r="D811" s="345"/>
      <c r="I811" s="346"/>
    </row>
    <row r="812">
      <c r="D812" s="345"/>
      <c r="I812" s="346"/>
    </row>
    <row r="813">
      <c r="D813" s="345"/>
      <c r="I813" s="346"/>
    </row>
    <row r="814">
      <c r="D814" s="345"/>
      <c r="I814" s="346"/>
    </row>
    <row r="815">
      <c r="D815" s="345"/>
      <c r="I815" s="346"/>
    </row>
    <row r="816">
      <c r="D816" s="345"/>
      <c r="I816" s="346"/>
    </row>
    <row r="817">
      <c r="D817" s="345"/>
      <c r="I817" s="346"/>
    </row>
    <row r="818">
      <c r="D818" s="345"/>
      <c r="I818" s="346"/>
    </row>
    <row r="819">
      <c r="D819" s="345"/>
      <c r="I819" s="346"/>
    </row>
    <row r="820">
      <c r="D820" s="345"/>
      <c r="I820" s="346"/>
    </row>
    <row r="821">
      <c r="D821" s="345"/>
      <c r="I821" s="346"/>
    </row>
    <row r="822">
      <c r="D822" s="345"/>
      <c r="I822" s="346"/>
    </row>
    <row r="823">
      <c r="D823" s="345"/>
      <c r="I823" s="346"/>
    </row>
    <row r="824">
      <c r="D824" s="345"/>
      <c r="I824" s="346"/>
    </row>
    <row r="825">
      <c r="D825" s="345"/>
      <c r="I825" s="346"/>
    </row>
    <row r="826">
      <c r="D826" s="345"/>
      <c r="I826" s="346"/>
    </row>
    <row r="827">
      <c r="D827" s="345"/>
      <c r="I827" s="346"/>
    </row>
    <row r="828">
      <c r="D828" s="345"/>
      <c r="I828" s="346"/>
    </row>
    <row r="829">
      <c r="D829" s="345"/>
      <c r="I829" s="346"/>
    </row>
    <row r="830">
      <c r="D830" s="345"/>
      <c r="I830" s="346"/>
    </row>
    <row r="831">
      <c r="D831" s="345"/>
      <c r="I831" s="346"/>
    </row>
    <row r="832">
      <c r="D832" s="345"/>
      <c r="I832" s="346"/>
    </row>
    <row r="833">
      <c r="D833" s="345"/>
      <c r="I833" s="346"/>
    </row>
    <row r="834">
      <c r="D834" s="345"/>
      <c r="I834" s="346"/>
    </row>
    <row r="835">
      <c r="D835" s="345"/>
      <c r="I835" s="346"/>
    </row>
    <row r="836">
      <c r="D836" s="345"/>
      <c r="I836" s="346"/>
    </row>
    <row r="837">
      <c r="D837" s="345"/>
      <c r="I837" s="346"/>
    </row>
    <row r="838">
      <c r="D838" s="345"/>
      <c r="I838" s="346"/>
    </row>
    <row r="839">
      <c r="D839" s="345"/>
      <c r="I839" s="346"/>
    </row>
    <row r="840">
      <c r="D840" s="345"/>
      <c r="I840" s="346"/>
    </row>
    <row r="841">
      <c r="D841" s="345"/>
      <c r="I841" s="346"/>
    </row>
    <row r="842">
      <c r="D842" s="345"/>
      <c r="I842" s="346"/>
    </row>
    <row r="843">
      <c r="D843" s="345"/>
      <c r="I843" s="346"/>
    </row>
    <row r="844">
      <c r="D844" s="345"/>
      <c r="I844" s="346"/>
    </row>
    <row r="845">
      <c r="D845" s="345"/>
      <c r="I845" s="346"/>
    </row>
    <row r="846">
      <c r="D846" s="345"/>
      <c r="I846" s="346"/>
    </row>
    <row r="847">
      <c r="D847" s="345"/>
      <c r="I847" s="346"/>
    </row>
    <row r="848">
      <c r="D848" s="345"/>
      <c r="I848" s="346"/>
    </row>
    <row r="849">
      <c r="D849" s="345"/>
      <c r="I849" s="346"/>
    </row>
    <row r="850">
      <c r="D850" s="345"/>
      <c r="I850" s="346"/>
    </row>
    <row r="851">
      <c r="D851" s="345"/>
      <c r="I851" s="346"/>
    </row>
    <row r="852">
      <c r="D852" s="345"/>
      <c r="I852" s="346"/>
    </row>
    <row r="853">
      <c r="D853" s="345"/>
      <c r="I853" s="346"/>
    </row>
    <row r="854">
      <c r="D854" s="345"/>
      <c r="I854" s="346"/>
    </row>
    <row r="855">
      <c r="D855" s="345"/>
      <c r="I855" s="346"/>
    </row>
    <row r="856">
      <c r="D856" s="345"/>
      <c r="I856" s="346"/>
    </row>
    <row r="857">
      <c r="D857" s="345"/>
      <c r="I857" s="346"/>
    </row>
    <row r="858">
      <c r="D858" s="345"/>
      <c r="I858" s="346"/>
    </row>
    <row r="859">
      <c r="D859" s="345"/>
      <c r="I859" s="346"/>
    </row>
    <row r="860">
      <c r="D860" s="345"/>
      <c r="I860" s="346"/>
    </row>
    <row r="861">
      <c r="D861" s="345"/>
      <c r="I861" s="346"/>
    </row>
    <row r="862">
      <c r="D862" s="345"/>
      <c r="I862" s="346"/>
    </row>
    <row r="863">
      <c r="D863" s="345"/>
      <c r="I863" s="346"/>
    </row>
    <row r="864">
      <c r="D864" s="345"/>
      <c r="I864" s="346"/>
    </row>
    <row r="865">
      <c r="D865" s="345"/>
      <c r="I865" s="346"/>
    </row>
    <row r="866">
      <c r="D866" s="345"/>
      <c r="I866" s="346"/>
    </row>
    <row r="867">
      <c r="D867" s="345"/>
      <c r="I867" s="346"/>
    </row>
    <row r="868">
      <c r="D868" s="345"/>
      <c r="I868" s="346"/>
    </row>
    <row r="869">
      <c r="D869" s="345"/>
      <c r="I869" s="346"/>
    </row>
    <row r="870">
      <c r="D870" s="345"/>
      <c r="I870" s="346"/>
    </row>
    <row r="871">
      <c r="D871" s="345"/>
      <c r="I871" s="346"/>
    </row>
    <row r="872">
      <c r="D872" s="345"/>
      <c r="I872" s="346"/>
    </row>
    <row r="873">
      <c r="D873" s="345"/>
      <c r="I873" s="346"/>
    </row>
    <row r="874">
      <c r="D874" s="345"/>
      <c r="I874" s="346"/>
    </row>
    <row r="875">
      <c r="D875" s="345"/>
      <c r="I875" s="346"/>
    </row>
    <row r="876">
      <c r="D876" s="345"/>
      <c r="I876" s="346"/>
    </row>
    <row r="877">
      <c r="D877" s="345"/>
      <c r="I877" s="346"/>
    </row>
    <row r="878">
      <c r="D878" s="345"/>
      <c r="I878" s="346"/>
    </row>
    <row r="879">
      <c r="D879" s="345"/>
      <c r="I879" s="346"/>
    </row>
    <row r="880">
      <c r="D880" s="345"/>
      <c r="I880" s="346"/>
    </row>
    <row r="881">
      <c r="D881" s="345"/>
      <c r="I881" s="346"/>
    </row>
    <row r="882">
      <c r="D882" s="345"/>
      <c r="I882" s="346"/>
    </row>
    <row r="883">
      <c r="D883" s="345"/>
      <c r="I883" s="346"/>
    </row>
    <row r="884">
      <c r="D884" s="345"/>
      <c r="I884" s="346"/>
    </row>
    <row r="885">
      <c r="D885" s="345"/>
      <c r="I885" s="346"/>
    </row>
    <row r="886">
      <c r="D886" s="345"/>
      <c r="I886" s="346"/>
    </row>
    <row r="887">
      <c r="D887" s="345"/>
      <c r="I887" s="346"/>
    </row>
    <row r="888">
      <c r="D888" s="345"/>
      <c r="I888" s="346"/>
    </row>
    <row r="889">
      <c r="D889" s="345"/>
      <c r="I889" s="346"/>
    </row>
    <row r="890">
      <c r="D890" s="345"/>
      <c r="I890" s="346"/>
    </row>
    <row r="891">
      <c r="D891" s="345"/>
      <c r="I891" s="346"/>
    </row>
    <row r="892">
      <c r="D892" s="345"/>
      <c r="I892" s="346"/>
    </row>
    <row r="893">
      <c r="D893" s="345"/>
      <c r="I893" s="346"/>
    </row>
    <row r="894">
      <c r="D894" s="345"/>
      <c r="I894" s="346"/>
    </row>
    <row r="895">
      <c r="D895" s="345"/>
      <c r="I895" s="346"/>
    </row>
    <row r="896">
      <c r="D896" s="345"/>
      <c r="I896" s="346"/>
    </row>
    <row r="897">
      <c r="D897" s="345"/>
      <c r="I897" s="346"/>
    </row>
    <row r="898">
      <c r="D898" s="345"/>
      <c r="I898" s="346"/>
    </row>
    <row r="899">
      <c r="D899" s="345"/>
      <c r="I899" s="346"/>
    </row>
    <row r="900">
      <c r="D900" s="345"/>
      <c r="I900" s="346"/>
    </row>
    <row r="901">
      <c r="D901" s="345"/>
      <c r="I901" s="346"/>
    </row>
    <row r="902">
      <c r="D902" s="345"/>
      <c r="I902" s="346"/>
    </row>
    <row r="903">
      <c r="D903" s="345"/>
      <c r="I903" s="346"/>
    </row>
    <row r="904">
      <c r="D904" s="345"/>
      <c r="I904" s="346"/>
    </row>
    <row r="905">
      <c r="D905" s="345"/>
      <c r="I905" s="346"/>
    </row>
    <row r="906">
      <c r="D906" s="345"/>
      <c r="I906" s="346"/>
    </row>
    <row r="907">
      <c r="D907" s="345"/>
      <c r="I907" s="346"/>
    </row>
    <row r="908">
      <c r="D908" s="345"/>
      <c r="I908" s="346"/>
    </row>
    <row r="909">
      <c r="D909" s="345"/>
      <c r="I909" s="346"/>
    </row>
    <row r="910">
      <c r="D910" s="345"/>
      <c r="I910" s="346"/>
    </row>
    <row r="911">
      <c r="D911" s="345"/>
      <c r="I911" s="346"/>
    </row>
    <row r="912">
      <c r="D912" s="345"/>
      <c r="I912" s="346"/>
    </row>
    <row r="913">
      <c r="D913" s="345"/>
      <c r="I913" s="346"/>
    </row>
    <row r="914">
      <c r="D914" s="345"/>
      <c r="I914" s="346"/>
    </row>
    <row r="915">
      <c r="D915" s="345"/>
      <c r="I915" s="346"/>
    </row>
    <row r="916">
      <c r="D916" s="345"/>
      <c r="I916" s="346"/>
    </row>
    <row r="917">
      <c r="D917" s="345"/>
      <c r="I917" s="346"/>
    </row>
    <row r="918">
      <c r="D918" s="345"/>
      <c r="I918" s="346"/>
    </row>
    <row r="919">
      <c r="D919" s="345"/>
      <c r="I919" s="346"/>
    </row>
    <row r="920">
      <c r="D920" s="345"/>
      <c r="I920" s="346"/>
    </row>
    <row r="921">
      <c r="D921" s="345"/>
      <c r="I921" s="346"/>
    </row>
    <row r="922">
      <c r="D922" s="345"/>
      <c r="I922" s="346"/>
    </row>
    <row r="923">
      <c r="D923" s="345"/>
      <c r="I923" s="346"/>
    </row>
    <row r="924">
      <c r="D924" s="345"/>
      <c r="I924" s="346"/>
    </row>
    <row r="925">
      <c r="D925" s="345"/>
      <c r="I925" s="346"/>
    </row>
    <row r="926">
      <c r="D926" s="345"/>
      <c r="I926" s="346"/>
    </row>
    <row r="927">
      <c r="D927" s="345"/>
      <c r="I927" s="346"/>
    </row>
    <row r="928">
      <c r="D928" s="345"/>
      <c r="I928" s="346"/>
    </row>
    <row r="929">
      <c r="D929" s="345"/>
      <c r="I929" s="346"/>
    </row>
    <row r="930">
      <c r="D930" s="345"/>
      <c r="I930" s="346"/>
    </row>
    <row r="931">
      <c r="D931" s="345"/>
      <c r="I931" s="346"/>
    </row>
    <row r="932">
      <c r="D932" s="345"/>
      <c r="I932" s="346"/>
    </row>
    <row r="933">
      <c r="D933" s="345"/>
      <c r="I933" s="346"/>
    </row>
    <row r="934">
      <c r="D934" s="345"/>
      <c r="I934" s="346"/>
    </row>
    <row r="935">
      <c r="D935" s="345"/>
      <c r="I935" s="346"/>
    </row>
    <row r="936">
      <c r="D936" s="345"/>
      <c r="I936" s="346"/>
    </row>
    <row r="937">
      <c r="D937" s="345"/>
      <c r="I937" s="346"/>
    </row>
    <row r="938">
      <c r="D938" s="345"/>
      <c r="I938" s="346"/>
    </row>
    <row r="939">
      <c r="D939" s="345"/>
      <c r="I939" s="346"/>
    </row>
    <row r="940">
      <c r="D940" s="345"/>
      <c r="I940" s="346"/>
    </row>
    <row r="941">
      <c r="D941" s="345"/>
      <c r="I941" s="346"/>
    </row>
    <row r="942">
      <c r="D942" s="345"/>
      <c r="I942" s="346"/>
    </row>
    <row r="943">
      <c r="D943" s="345"/>
      <c r="I943" s="346"/>
    </row>
    <row r="944">
      <c r="D944" s="345"/>
      <c r="I944" s="346"/>
    </row>
    <row r="945">
      <c r="D945" s="345"/>
      <c r="I945" s="346"/>
    </row>
    <row r="946">
      <c r="D946" s="345"/>
      <c r="I946" s="346"/>
    </row>
    <row r="947">
      <c r="D947" s="345"/>
      <c r="I947" s="346"/>
    </row>
    <row r="948">
      <c r="D948" s="345"/>
      <c r="I948" s="346"/>
    </row>
    <row r="949">
      <c r="D949" s="345"/>
      <c r="I949" s="346"/>
    </row>
    <row r="950">
      <c r="D950" s="345"/>
      <c r="I950" s="346"/>
    </row>
    <row r="951">
      <c r="D951" s="345"/>
      <c r="I951" s="346"/>
    </row>
    <row r="952">
      <c r="D952" s="345"/>
      <c r="I952" s="346"/>
    </row>
    <row r="953">
      <c r="D953" s="345"/>
      <c r="I953" s="346"/>
    </row>
    <row r="954">
      <c r="D954" s="345"/>
      <c r="I954" s="346"/>
    </row>
    <row r="955">
      <c r="D955" s="345"/>
      <c r="I955" s="346"/>
    </row>
    <row r="956">
      <c r="D956" s="345"/>
      <c r="I956" s="346"/>
    </row>
    <row r="957">
      <c r="D957" s="345"/>
      <c r="I957" s="346"/>
    </row>
    <row r="958">
      <c r="D958" s="345"/>
      <c r="I958" s="346"/>
    </row>
    <row r="959">
      <c r="D959" s="345"/>
      <c r="I959" s="346"/>
    </row>
    <row r="960">
      <c r="D960" s="345"/>
      <c r="I960" s="346"/>
    </row>
    <row r="961">
      <c r="D961" s="345"/>
      <c r="I961" s="346"/>
    </row>
    <row r="962">
      <c r="D962" s="345"/>
      <c r="I962" s="346"/>
    </row>
    <row r="963">
      <c r="D963" s="345"/>
      <c r="I963" s="346"/>
    </row>
    <row r="964">
      <c r="D964" s="345"/>
      <c r="I964" s="346"/>
    </row>
    <row r="965">
      <c r="D965" s="345"/>
      <c r="I965" s="346"/>
    </row>
    <row r="966">
      <c r="D966" s="345"/>
      <c r="I966" s="346"/>
    </row>
    <row r="967">
      <c r="D967" s="345"/>
      <c r="I967" s="346"/>
    </row>
    <row r="968">
      <c r="D968" s="345"/>
      <c r="I968" s="346"/>
    </row>
    <row r="969">
      <c r="D969" s="345"/>
      <c r="I969" s="346"/>
    </row>
    <row r="970">
      <c r="D970" s="345"/>
      <c r="I970" s="346"/>
    </row>
    <row r="971">
      <c r="D971" s="345"/>
      <c r="I971" s="346"/>
    </row>
    <row r="972">
      <c r="D972" s="345"/>
      <c r="I972" s="346"/>
    </row>
    <row r="973">
      <c r="D973" s="345"/>
      <c r="I973" s="346"/>
    </row>
    <row r="974">
      <c r="D974" s="345"/>
      <c r="I974" s="346"/>
    </row>
    <row r="975">
      <c r="D975" s="345"/>
      <c r="I975" s="346"/>
    </row>
    <row r="976">
      <c r="D976" s="345"/>
      <c r="I976" s="346"/>
    </row>
    <row r="977">
      <c r="D977" s="345"/>
      <c r="I977" s="346"/>
    </row>
    <row r="978">
      <c r="D978" s="345"/>
      <c r="I978" s="346"/>
    </row>
    <row r="979">
      <c r="D979" s="345"/>
      <c r="I979" s="346"/>
    </row>
    <row r="980">
      <c r="D980" s="345"/>
      <c r="I980" s="346"/>
    </row>
    <row r="981">
      <c r="D981" s="345"/>
      <c r="I981" s="346"/>
    </row>
    <row r="982">
      <c r="D982" s="345"/>
      <c r="I982" s="346"/>
    </row>
    <row r="983">
      <c r="D983" s="345"/>
      <c r="I983" s="346"/>
    </row>
    <row r="984">
      <c r="D984" s="345"/>
      <c r="I984" s="346"/>
    </row>
    <row r="985">
      <c r="D985" s="345"/>
      <c r="I985" s="346"/>
    </row>
    <row r="986">
      <c r="D986" s="345"/>
      <c r="I986" s="346"/>
    </row>
    <row r="987">
      <c r="D987" s="345"/>
      <c r="I987" s="346"/>
    </row>
    <row r="988">
      <c r="D988" s="345"/>
      <c r="I988" s="346"/>
    </row>
    <row r="989">
      <c r="D989" s="345"/>
      <c r="I989" s="346"/>
    </row>
    <row r="990">
      <c r="D990" s="345"/>
      <c r="I990" s="346"/>
    </row>
    <row r="991">
      <c r="D991" s="345"/>
      <c r="I991" s="346"/>
    </row>
    <row r="992">
      <c r="D992" s="345"/>
      <c r="I992" s="346"/>
    </row>
    <row r="993">
      <c r="D993" s="345"/>
      <c r="I993" s="346"/>
    </row>
    <row r="994">
      <c r="D994" s="345"/>
      <c r="I994" s="346"/>
    </row>
    <row r="995">
      <c r="D995" s="345"/>
      <c r="I995" s="346"/>
    </row>
    <row r="996">
      <c r="D996" s="345"/>
      <c r="I996" s="346"/>
    </row>
    <row r="997">
      <c r="D997" s="345"/>
      <c r="I997" s="346"/>
    </row>
    <row r="998">
      <c r="D998" s="345"/>
      <c r="I998" s="346"/>
    </row>
    <row r="999">
      <c r="D999" s="345"/>
      <c r="I999" s="346"/>
    </row>
    <row r="1000">
      <c r="D1000" s="345"/>
      <c r="I1000" s="346"/>
    </row>
  </sheetData>
  <mergeCells count="1">
    <mergeCell ref="A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5.0"/>
    <col customWidth="1" min="2" max="2" width="11.78"/>
    <col customWidth="1" min="4" max="4" width="12.89"/>
  </cols>
  <sheetData>
    <row r="2">
      <c r="A2" s="5" t="s">
        <v>2</v>
      </c>
      <c r="B2" s="8"/>
      <c r="C2" s="8"/>
      <c r="D2" s="11"/>
    </row>
    <row r="3">
      <c r="A3" s="14" t="s">
        <v>10</v>
      </c>
      <c r="B3" s="17" t="s">
        <v>13</v>
      </c>
      <c r="C3" s="19" t="s">
        <v>16</v>
      </c>
      <c r="D3" s="19" t="s">
        <v>20</v>
      </c>
    </row>
    <row r="4">
      <c r="A4" s="22" t="s">
        <v>22</v>
      </c>
      <c r="B4" s="24">
        <v>352.0</v>
      </c>
      <c r="C4" s="28" t="s">
        <v>31</v>
      </c>
      <c r="D4" s="28" t="s">
        <v>34</v>
      </c>
    </row>
    <row r="5">
      <c r="A5" s="32" t="s">
        <v>35</v>
      </c>
      <c r="B5" s="34">
        <v>168.0</v>
      </c>
      <c r="C5" s="46" t="s">
        <v>36</v>
      </c>
      <c r="D5" s="46"/>
    </row>
    <row r="6">
      <c r="A6" s="32" t="s">
        <v>41</v>
      </c>
      <c r="B6" s="34">
        <v>44.15</v>
      </c>
      <c r="C6" s="46" t="s">
        <v>42</v>
      </c>
      <c r="D6" s="46" t="s">
        <v>44</v>
      </c>
    </row>
    <row r="7">
      <c r="A7" s="32" t="s">
        <v>46</v>
      </c>
      <c r="B7" s="34">
        <v>132.0</v>
      </c>
      <c r="C7" s="46" t="s">
        <v>42</v>
      </c>
      <c r="D7" s="46"/>
    </row>
    <row r="8">
      <c r="A8" s="32"/>
      <c r="B8" s="34"/>
      <c r="C8" s="46"/>
      <c r="D8" s="46"/>
    </row>
    <row r="9">
      <c r="A9" s="32"/>
      <c r="B9" s="34"/>
      <c r="C9" s="46"/>
      <c r="D9" s="46"/>
    </row>
    <row r="10">
      <c r="A10" s="32"/>
      <c r="B10" s="34"/>
      <c r="C10" s="46"/>
      <c r="D10" s="46"/>
    </row>
    <row r="11">
      <c r="A11" s="63" t="s">
        <v>58</v>
      </c>
      <c r="B11" s="65"/>
      <c r="C11" s="46" t="s">
        <v>61</v>
      </c>
      <c r="D11" s="46"/>
    </row>
    <row r="12">
      <c r="A12" s="32"/>
      <c r="B12" s="34"/>
      <c r="C12" s="46"/>
      <c r="D12" s="46"/>
    </row>
    <row r="13">
      <c r="A13" s="32"/>
      <c r="B13" s="34"/>
      <c r="C13" s="46"/>
      <c r="D13" s="46"/>
    </row>
    <row r="14">
      <c r="A14" s="32"/>
      <c r="B14" s="34"/>
      <c r="C14" s="46"/>
      <c r="D14" s="46"/>
    </row>
    <row r="15">
      <c r="A15" s="32"/>
      <c r="B15" s="34"/>
      <c r="C15" s="46"/>
      <c r="D15" s="46"/>
    </row>
    <row r="16">
      <c r="A16" s="73" t="s">
        <v>72</v>
      </c>
      <c r="B16" s="77">
        <f>SUM(B3:B15)</f>
        <v>696.15</v>
      </c>
      <c r="C16" s="77"/>
      <c r="D16" s="77"/>
    </row>
  </sheetData>
  <mergeCells count="1">
    <mergeCell ref="A2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33.56"/>
    <col customWidth="1" min="3" max="3" width="6.67"/>
    <col customWidth="1" min="4" max="4" width="7.33"/>
    <col customWidth="1" min="5" max="5" width="9.22"/>
    <col customWidth="1" min="6" max="6" width="23.78"/>
    <col customWidth="1" min="7" max="7" width="69.78"/>
  </cols>
  <sheetData>
    <row r="1">
      <c r="A1" s="100" t="s">
        <v>138</v>
      </c>
      <c r="B1" s="101"/>
      <c r="C1" s="102" t="s">
        <v>25</v>
      </c>
      <c r="D1" s="102" t="s">
        <v>17</v>
      </c>
      <c r="E1" s="102" t="s">
        <v>3</v>
      </c>
      <c r="F1" s="102" t="s">
        <v>28</v>
      </c>
      <c r="G1" s="102" t="s">
        <v>144</v>
      </c>
    </row>
    <row r="2">
      <c r="A2" s="104" t="s">
        <v>145</v>
      </c>
      <c r="B2" s="106"/>
      <c r="C2" s="108"/>
      <c r="D2" s="108"/>
      <c r="E2" s="109"/>
      <c r="F2" s="110"/>
      <c r="G2" s="112"/>
    </row>
    <row r="3">
      <c r="A3" s="113" t="s">
        <v>153</v>
      </c>
      <c r="B3" s="106">
        <v>80.0</v>
      </c>
      <c r="C3" s="108" t="s">
        <v>43</v>
      </c>
      <c r="D3" s="108" t="s">
        <v>43</v>
      </c>
      <c r="E3" s="114"/>
      <c r="F3" s="110"/>
      <c r="G3" s="119" t="s">
        <v>158</v>
      </c>
    </row>
    <row r="4">
      <c r="A4" s="113" t="s">
        <v>164</v>
      </c>
      <c r="B4" s="106">
        <v>160.0</v>
      </c>
      <c r="C4" s="121"/>
      <c r="D4" s="121"/>
      <c r="E4" s="122">
        <v>46286.0</v>
      </c>
      <c r="F4" s="123" t="s">
        <v>169</v>
      </c>
      <c r="G4" s="129" t="s">
        <v>172</v>
      </c>
    </row>
    <row r="5">
      <c r="A5" s="113" t="s">
        <v>179</v>
      </c>
      <c r="B5" s="106">
        <v>26.0</v>
      </c>
      <c r="C5" s="108"/>
      <c r="D5" s="108"/>
      <c r="E5" s="122">
        <v>46307.0</v>
      </c>
      <c r="F5" s="123" t="s">
        <v>182</v>
      </c>
      <c r="G5" s="133" t="s">
        <v>183</v>
      </c>
    </row>
    <row r="6">
      <c r="A6" s="113" t="s">
        <v>188</v>
      </c>
      <c r="B6" s="106">
        <v>450.0</v>
      </c>
      <c r="C6" s="108"/>
      <c r="D6" s="108"/>
      <c r="E6" s="122">
        <v>46305.0</v>
      </c>
      <c r="F6" s="123" t="s">
        <v>191</v>
      </c>
      <c r="G6" s="133" t="s">
        <v>192</v>
      </c>
    </row>
    <row r="7">
      <c r="A7" s="113" t="s">
        <v>199</v>
      </c>
      <c r="B7" s="106">
        <v>210.0</v>
      </c>
      <c r="C7" s="121" t="s">
        <v>43</v>
      </c>
      <c r="D7" s="121" t="s">
        <v>43</v>
      </c>
      <c r="E7" s="122">
        <v>46299.0</v>
      </c>
      <c r="F7" s="123" t="s">
        <v>200</v>
      </c>
      <c r="G7" s="133" t="s">
        <v>202</v>
      </c>
    </row>
    <row r="8">
      <c r="A8" s="113" t="s">
        <v>208</v>
      </c>
      <c r="B8" s="106">
        <v>30.0</v>
      </c>
      <c r="C8" s="108"/>
      <c r="D8" s="108"/>
      <c r="E8" s="122">
        <v>46298.0</v>
      </c>
      <c r="F8" s="123" t="s">
        <v>211</v>
      </c>
      <c r="G8" s="138" t="s">
        <v>213</v>
      </c>
    </row>
    <row r="9">
      <c r="A9" s="113" t="s">
        <v>220</v>
      </c>
      <c r="B9" s="106">
        <v>405.0</v>
      </c>
      <c r="C9" s="121" t="s">
        <v>43</v>
      </c>
      <c r="D9" s="121" t="s">
        <v>43</v>
      </c>
      <c r="E9" s="122">
        <v>46294.0</v>
      </c>
      <c r="F9" s="123" t="s">
        <v>222</v>
      </c>
      <c r="G9" s="133" t="s">
        <v>223</v>
      </c>
    </row>
    <row r="10">
      <c r="A10" s="113" t="s">
        <v>227</v>
      </c>
      <c r="B10" s="106">
        <v>100.0</v>
      </c>
      <c r="C10" s="108"/>
      <c r="D10" s="108"/>
      <c r="E10" s="122">
        <v>46292.0</v>
      </c>
      <c r="F10" s="123" t="s">
        <v>229</v>
      </c>
      <c r="G10" s="133" t="s">
        <v>230</v>
      </c>
    </row>
    <row r="11">
      <c r="A11" s="113"/>
      <c r="B11" s="106">
        <v>0.0</v>
      </c>
      <c r="C11" s="108"/>
      <c r="D11" s="108"/>
      <c r="E11" s="145"/>
      <c r="F11" s="146"/>
      <c r="G11" s="147"/>
    </row>
    <row r="12">
      <c r="A12" s="148"/>
      <c r="B12" s="149"/>
      <c r="C12" s="108"/>
      <c r="D12" s="108"/>
      <c r="E12" s="145"/>
      <c r="F12" s="146"/>
      <c r="G12" s="147"/>
    </row>
    <row r="13">
      <c r="A13" s="150" t="s">
        <v>141</v>
      </c>
      <c r="B13" s="151"/>
      <c r="C13" s="108"/>
      <c r="D13" s="108"/>
      <c r="E13" s="145"/>
      <c r="F13" s="146"/>
      <c r="G13" s="147"/>
    </row>
    <row r="14">
      <c r="A14" s="154" t="s">
        <v>239</v>
      </c>
      <c r="B14" s="106">
        <v>250.0</v>
      </c>
      <c r="C14" s="121" t="s">
        <v>43</v>
      </c>
      <c r="D14" s="121" t="s">
        <v>43</v>
      </c>
      <c r="E14" s="122">
        <v>46316.0</v>
      </c>
      <c r="F14" s="123" t="s">
        <v>242</v>
      </c>
      <c r="G14" s="133" t="s">
        <v>243</v>
      </c>
    </row>
    <row r="15">
      <c r="A15" s="154" t="s">
        <v>249</v>
      </c>
      <c r="B15" s="106">
        <v>100.0</v>
      </c>
      <c r="C15" s="108"/>
      <c r="D15" s="108"/>
      <c r="E15" s="122">
        <v>46318.0</v>
      </c>
      <c r="F15" s="146"/>
      <c r="G15" s="133" t="s">
        <v>251</v>
      </c>
    </row>
    <row r="16">
      <c r="A16" s="148"/>
      <c r="B16" s="149"/>
      <c r="C16" s="108"/>
      <c r="D16" s="108"/>
      <c r="E16" s="145"/>
      <c r="F16" s="146"/>
      <c r="G16" s="147"/>
    </row>
    <row r="17">
      <c r="A17" s="159" t="s">
        <v>258</v>
      </c>
      <c r="B17" s="151"/>
      <c r="C17" s="108"/>
      <c r="D17" s="108"/>
      <c r="E17" s="145"/>
      <c r="F17" s="146"/>
      <c r="G17" s="147"/>
    </row>
    <row r="18">
      <c r="A18" s="162" t="s">
        <v>261</v>
      </c>
      <c r="B18" s="106">
        <v>125.0</v>
      </c>
      <c r="C18" s="108"/>
      <c r="D18" s="108"/>
      <c r="E18" s="122">
        <v>46333.0</v>
      </c>
      <c r="F18" s="123" t="s">
        <v>264</v>
      </c>
      <c r="G18" s="133" t="s">
        <v>265</v>
      </c>
    </row>
    <row r="19">
      <c r="A19" s="162" t="s">
        <v>269</v>
      </c>
      <c r="B19" s="106">
        <v>165.0</v>
      </c>
      <c r="C19" s="108"/>
      <c r="D19" s="108"/>
      <c r="E19" s="122">
        <v>46331.0</v>
      </c>
      <c r="F19" s="123" t="s">
        <v>272</v>
      </c>
      <c r="G19" s="133" t="s">
        <v>273</v>
      </c>
    </row>
    <row r="20">
      <c r="A20" s="162" t="s">
        <v>277</v>
      </c>
      <c r="B20" s="106">
        <v>410.0</v>
      </c>
      <c r="C20" s="108"/>
      <c r="D20" s="108"/>
      <c r="E20" s="122">
        <v>46332.0</v>
      </c>
      <c r="F20" s="123" t="s">
        <v>280</v>
      </c>
      <c r="G20" s="133" t="s">
        <v>281</v>
      </c>
    </row>
    <row r="21">
      <c r="A21" s="162"/>
      <c r="B21" s="106"/>
      <c r="C21" s="108"/>
      <c r="D21" s="108"/>
      <c r="E21" s="122"/>
      <c r="F21" s="123"/>
      <c r="G21" s="147"/>
    </row>
    <row r="22">
      <c r="A22" s="168"/>
      <c r="B22" s="106"/>
      <c r="C22" s="108"/>
      <c r="D22" s="108"/>
      <c r="E22" s="122"/>
      <c r="F22" s="123"/>
      <c r="G22" s="147"/>
    </row>
    <row r="23">
      <c r="A23" s="170" t="s">
        <v>291</v>
      </c>
      <c r="B23" s="106">
        <v>0.0</v>
      </c>
      <c r="C23" s="108"/>
      <c r="D23" s="108"/>
      <c r="E23" s="122">
        <v>46342.0</v>
      </c>
      <c r="F23" s="123"/>
      <c r="G23" s="133" t="s">
        <v>295</v>
      </c>
    </row>
    <row r="24">
      <c r="A24" s="170" t="s">
        <v>300</v>
      </c>
      <c r="B24" s="106">
        <v>0.0</v>
      </c>
      <c r="C24" s="108"/>
      <c r="D24" s="108"/>
      <c r="E24" s="122">
        <v>46342.0</v>
      </c>
      <c r="F24" s="123" t="s">
        <v>302</v>
      </c>
      <c r="G24" s="133" t="s">
        <v>304</v>
      </c>
    </row>
    <row r="25">
      <c r="A25" s="170" t="s">
        <v>309</v>
      </c>
      <c r="B25" s="151">
        <v>115.0</v>
      </c>
      <c r="C25" s="108"/>
      <c r="D25" s="108"/>
      <c r="E25" s="122">
        <v>46340.0</v>
      </c>
      <c r="F25" s="123" t="s">
        <v>313</v>
      </c>
      <c r="G25" s="133" t="s">
        <v>314</v>
      </c>
    </row>
    <row r="26">
      <c r="A26" s="176" t="s">
        <v>318</v>
      </c>
      <c r="B26" s="151">
        <v>330.0</v>
      </c>
      <c r="C26" s="108"/>
      <c r="D26" s="108"/>
      <c r="E26" s="122">
        <v>46337.0</v>
      </c>
      <c r="F26" s="123" t="s">
        <v>320</v>
      </c>
      <c r="G26" s="133" t="s">
        <v>322</v>
      </c>
    </row>
    <row r="27">
      <c r="A27" s="170" t="s">
        <v>327</v>
      </c>
      <c r="B27" s="106">
        <v>75.0</v>
      </c>
      <c r="C27" s="108"/>
      <c r="D27" s="108"/>
      <c r="E27" s="122">
        <v>46338.0</v>
      </c>
      <c r="F27" s="123" t="s">
        <v>330</v>
      </c>
      <c r="G27" s="133" t="s">
        <v>332</v>
      </c>
    </row>
    <row r="28">
      <c r="A28" s="170" t="s">
        <v>335</v>
      </c>
      <c r="B28" s="106">
        <v>120.0</v>
      </c>
      <c r="C28" s="108"/>
      <c r="D28" s="108"/>
      <c r="E28" s="122">
        <v>46336.0</v>
      </c>
      <c r="F28" s="123" t="s">
        <v>338</v>
      </c>
      <c r="G28" s="133" t="s">
        <v>339</v>
      </c>
    </row>
    <row r="29">
      <c r="A29" s="170" t="s">
        <v>344</v>
      </c>
      <c r="B29" s="106">
        <v>60.0</v>
      </c>
      <c r="C29" s="108"/>
      <c r="D29" s="108"/>
      <c r="E29" s="122">
        <v>46336.0</v>
      </c>
      <c r="F29" s="123" t="s">
        <v>347</v>
      </c>
      <c r="G29" s="189" t="s">
        <v>349</v>
      </c>
    </row>
    <row r="30">
      <c r="A30" s="170" t="s">
        <v>354</v>
      </c>
      <c r="B30" s="106">
        <v>20.0</v>
      </c>
      <c r="C30" s="108"/>
      <c r="D30" s="108"/>
      <c r="E30" s="122">
        <v>46335.0</v>
      </c>
      <c r="F30" s="123" t="s">
        <v>357</v>
      </c>
      <c r="G30" s="189" t="s">
        <v>358</v>
      </c>
    </row>
    <row r="31">
      <c r="A31" s="170" t="s">
        <v>364</v>
      </c>
      <c r="B31" s="106">
        <v>35.0</v>
      </c>
      <c r="C31" s="108"/>
      <c r="D31" s="108"/>
      <c r="E31" s="122">
        <v>46343.0</v>
      </c>
      <c r="F31" s="123" t="s">
        <v>366</v>
      </c>
      <c r="G31" s="189" t="s">
        <v>368</v>
      </c>
    </row>
    <row r="32">
      <c r="A32" s="170" t="s">
        <v>372</v>
      </c>
      <c r="B32" s="106">
        <v>0.0</v>
      </c>
      <c r="C32" s="108"/>
      <c r="D32" s="108"/>
      <c r="E32" s="122">
        <v>46337.0</v>
      </c>
      <c r="F32" s="123" t="s">
        <v>374</v>
      </c>
      <c r="G32" s="189" t="s">
        <v>375</v>
      </c>
    </row>
    <row r="33">
      <c r="A33" s="168"/>
      <c r="B33" s="106"/>
      <c r="C33" s="108"/>
      <c r="D33" s="108"/>
      <c r="E33" s="122"/>
      <c r="F33" s="123"/>
      <c r="G33" s="215"/>
    </row>
    <row r="34">
      <c r="A34" s="221" t="s">
        <v>387</v>
      </c>
      <c r="B34" s="106">
        <v>0.0</v>
      </c>
      <c r="C34" s="108"/>
      <c r="D34" s="108"/>
      <c r="E34" s="122">
        <v>46347.0</v>
      </c>
      <c r="F34" s="123" t="s">
        <v>401</v>
      </c>
      <c r="G34" s="189" t="s">
        <v>402</v>
      </c>
    </row>
    <row r="35">
      <c r="A35" s="233" t="s">
        <v>411</v>
      </c>
      <c r="B35" s="106">
        <v>50.0</v>
      </c>
      <c r="C35" s="108"/>
      <c r="D35" s="108"/>
      <c r="E35" s="122">
        <v>46345.0</v>
      </c>
      <c r="F35" s="123" t="s">
        <v>417</v>
      </c>
      <c r="G35" s="189" t="s">
        <v>418</v>
      </c>
    </row>
    <row r="36">
      <c r="A36" s="221" t="s">
        <v>425</v>
      </c>
      <c r="B36" s="106">
        <v>0.0</v>
      </c>
      <c r="C36" s="108"/>
      <c r="D36" s="108"/>
      <c r="E36" s="122">
        <v>46347.0</v>
      </c>
      <c r="F36" s="123" t="s">
        <v>427</v>
      </c>
      <c r="G36" s="189" t="s">
        <v>428</v>
      </c>
    </row>
    <row r="37">
      <c r="A37" s="221" t="s">
        <v>433</v>
      </c>
      <c r="B37" s="106">
        <v>30.0</v>
      </c>
      <c r="C37" s="108"/>
      <c r="D37" s="108"/>
      <c r="E37" s="122">
        <v>46345.0</v>
      </c>
      <c r="F37" s="123"/>
      <c r="G37" s="133" t="s">
        <v>436</v>
      </c>
    </row>
    <row r="38">
      <c r="A38" s="234"/>
      <c r="B38" s="106">
        <v>0.0</v>
      </c>
      <c r="C38" s="108"/>
      <c r="D38" s="108"/>
      <c r="E38" s="122"/>
      <c r="F38" s="123"/>
      <c r="G38" s="147"/>
    </row>
    <row r="39">
      <c r="A39" s="235" t="s">
        <v>441</v>
      </c>
      <c r="B39" s="106">
        <v>0.0</v>
      </c>
      <c r="C39" s="108"/>
      <c r="D39" s="108"/>
      <c r="E39" s="122">
        <v>46351.0</v>
      </c>
      <c r="F39" s="123" t="s">
        <v>445</v>
      </c>
      <c r="G39" s="133" t="s">
        <v>446</v>
      </c>
    </row>
    <row r="40">
      <c r="A40" s="235" t="s">
        <v>450</v>
      </c>
      <c r="B40" s="106">
        <v>0.0</v>
      </c>
      <c r="C40" s="108"/>
      <c r="D40" s="108"/>
      <c r="E40" s="122">
        <v>46351.0</v>
      </c>
      <c r="F40" s="123" t="s">
        <v>454</v>
      </c>
      <c r="G40" s="133" t="s">
        <v>455</v>
      </c>
    </row>
    <row r="41">
      <c r="A41" s="237"/>
      <c r="B41" s="106">
        <v>0.0</v>
      </c>
      <c r="C41" s="108"/>
      <c r="D41" s="108"/>
      <c r="E41" s="122"/>
      <c r="F41" s="123"/>
      <c r="G41" s="147"/>
    </row>
    <row r="42">
      <c r="A42" s="235" t="s">
        <v>462</v>
      </c>
      <c r="B42" s="106">
        <v>135.0</v>
      </c>
      <c r="C42" s="108"/>
      <c r="D42" s="108"/>
      <c r="E42" s="122">
        <v>46357.0</v>
      </c>
      <c r="F42" s="123" t="s">
        <v>465</v>
      </c>
      <c r="G42" s="133" t="s">
        <v>466</v>
      </c>
    </row>
    <row r="43">
      <c r="A43" s="239" t="s">
        <v>471</v>
      </c>
      <c r="B43" s="106">
        <v>0.0</v>
      </c>
      <c r="C43" s="108"/>
      <c r="D43" s="108"/>
      <c r="E43" s="122">
        <v>46361.0</v>
      </c>
      <c r="F43" s="123" t="s">
        <v>473</v>
      </c>
      <c r="G43" s="133" t="s">
        <v>475</v>
      </c>
    </row>
    <row r="44">
      <c r="A44" s="239" t="s">
        <v>479</v>
      </c>
      <c r="B44" s="106">
        <v>0.0</v>
      </c>
      <c r="C44" s="108"/>
      <c r="D44" s="108"/>
      <c r="E44" s="122">
        <v>46364.0</v>
      </c>
      <c r="F44" s="123" t="s">
        <v>480</v>
      </c>
      <c r="G44" s="133" t="s">
        <v>481</v>
      </c>
    </row>
    <row r="45">
      <c r="A45" s="235" t="s">
        <v>485</v>
      </c>
      <c r="B45" s="106">
        <v>0.0</v>
      </c>
      <c r="C45" s="108"/>
      <c r="D45" s="108"/>
      <c r="E45" s="122">
        <v>46358.0</v>
      </c>
      <c r="F45" s="123"/>
      <c r="G45" s="133" t="s">
        <v>486</v>
      </c>
    </row>
    <row r="46">
      <c r="A46" s="234"/>
      <c r="B46" s="106">
        <v>0.0</v>
      </c>
      <c r="C46" s="108"/>
      <c r="D46" s="108"/>
      <c r="E46" s="122"/>
      <c r="F46" s="123"/>
      <c r="G46" s="147"/>
    </row>
    <row r="47">
      <c r="A47" s="241" t="s">
        <v>491</v>
      </c>
      <c r="B47" s="106">
        <v>0.0</v>
      </c>
      <c r="C47" s="108"/>
      <c r="D47" s="108"/>
      <c r="E47" s="122">
        <v>46368.0</v>
      </c>
      <c r="F47" s="123" t="s">
        <v>493</v>
      </c>
      <c r="G47" s="133" t="s">
        <v>494</v>
      </c>
    </row>
    <row r="48">
      <c r="A48" s="241" t="s">
        <v>496</v>
      </c>
      <c r="B48" s="106">
        <v>0.0</v>
      </c>
      <c r="C48" s="108"/>
      <c r="D48" s="108"/>
      <c r="E48" s="122">
        <v>46367.0</v>
      </c>
      <c r="F48" s="123" t="s">
        <v>497</v>
      </c>
      <c r="G48" s="189" t="s">
        <v>498</v>
      </c>
    </row>
    <row r="49">
      <c r="A49" s="241" t="s">
        <v>499</v>
      </c>
      <c r="B49" s="106">
        <v>0.0</v>
      </c>
      <c r="C49" s="108"/>
      <c r="D49" s="108"/>
      <c r="E49" s="122">
        <v>46367.0</v>
      </c>
      <c r="F49" s="123"/>
      <c r="G49" s="189" t="s">
        <v>501</v>
      </c>
    </row>
    <row r="50">
      <c r="A50" s="241" t="s">
        <v>503</v>
      </c>
      <c r="B50" s="106">
        <v>60.0</v>
      </c>
      <c r="C50" s="108"/>
      <c r="D50" s="108"/>
      <c r="E50" s="122">
        <v>46368.0</v>
      </c>
      <c r="F50" s="123" t="s">
        <v>504</v>
      </c>
      <c r="G50" s="189" t="s">
        <v>505</v>
      </c>
    </row>
    <row r="51">
      <c r="A51" s="241" t="s">
        <v>507</v>
      </c>
      <c r="B51" s="106">
        <v>0.0</v>
      </c>
      <c r="C51" s="108"/>
      <c r="D51" s="108"/>
      <c r="E51" s="122">
        <v>46367.0</v>
      </c>
      <c r="F51" s="123" t="s">
        <v>508</v>
      </c>
      <c r="G51" s="189" t="s">
        <v>509</v>
      </c>
    </row>
    <row r="52">
      <c r="A52" s="241" t="s">
        <v>511</v>
      </c>
      <c r="B52" s="106">
        <v>0.0</v>
      </c>
      <c r="C52" s="108"/>
      <c r="D52" s="108"/>
      <c r="E52" s="122">
        <v>46368.0</v>
      </c>
      <c r="F52" s="123" t="s">
        <v>513</v>
      </c>
      <c r="G52" s="189" t="s">
        <v>514</v>
      </c>
    </row>
    <row r="53">
      <c r="A53" s="245"/>
      <c r="B53" s="106">
        <v>0.0</v>
      </c>
      <c r="C53" s="108"/>
      <c r="D53" s="108"/>
      <c r="E53" s="122"/>
      <c r="F53" s="123"/>
      <c r="G53" s="246"/>
    </row>
    <row r="54">
      <c r="A54" s="245"/>
      <c r="B54" s="106">
        <v>0.0</v>
      </c>
      <c r="C54" s="108"/>
      <c r="D54" s="108"/>
      <c r="E54" s="122"/>
      <c r="F54" s="123"/>
      <c r="G54" s="246"/>
    </row>
    <row r="55">
      <c r="A55" s="245"/>
      <c r="B55" s="106">
        <v>0.0</v>
      </c>
      <c r="C55" s="108"/>
      <c r="D55" s="108"/>
      <c r="E55" s="145"/>
      <c r="F55" s="146"/>
      <c r="G55" s="247"/>
    </row>
    <row r="56">
      <c r="A56" s="248"/>
      <c r="B56" s="217"/>
      <c r="C56" s="108"/>
      <c r="D56" s="108"/>
      <c r="E56" s="145"/>
      <c r="F56" s="146"/>
      <c r="G56" s="247"/>
    </row>
    <row r="57">
      <c r="A57" s="249" t="s">
        <v>516</v>
      </c>
      <c r="B57" s="106"/>
      <c r="C57" s="108"/>
      <c r="D57" s="108"/>
      <c r="E57" s="145"/>
      <c r="F57" s="146"/>
      <c r="G57" s="247"/>
    </row>
    <row r="58">
      <c r="A58" s="250" t="s">
        <v>518</v>
      </c>
      <c r="B58" s="106">
        <v>50.0</v>
      </c>
      <c r="C58" s="108"/>
      <c r="D58" s="108"/>
      <c r="E58" s="122">
        <v>46372.0</v>
      </c>
      <c r="F58" s="123" t="s">
        <v>519</v>
      </c>
      <c r="G58" s="133" t="s">
        <v>520</v>
      </c>
    </row>
    <row r="59">
      <c r="A59" s="250" t="s">
        <v>522</v>
      </c>
      <c r="B59" s="106">
        <v>300.0</v>
      </c>
      <c r="C59" s="121" t="s">
        <v>43</v>
      </c>
      <c r="D59" s="121" t="s">
        <v>43</v>
      </c>
      <c r="E59" s="122">
        <v>46376.0</v>
      </c>
      <c r="F59" s="123" t="s">
        <v>523</v>
      </c>
      <c r="G59" s="133" t="s">
        <v>524</v>
      </c>
    </row>
    <row r="60">
      <c r="A60" s="250" t="s">
        <v>525</v>
      </c>
      <c r="B60" s="106">
        <v>300.0</v>
      </c>
      <c r="C60" s="108"/>
      <c r="D60" s="108"/>
      <c r="E60" s="122">
        <v>46385.0</v>
      </c>
      <c r="F60" s="123" t="s">
        <v>526</v>
      </c>
      <c r="G60" s="133" t="s">
        <v>527</v>
      </c>
    </row>
    <row r="61">
      <c r="A61" s="250" t="s">
        <v>529</v>
      </c>
      <c r="B61" s="106">
        <v>0.0</v>
      </c>
      <c r="C61" s="108"/>
      <c r="D61" s="108"/>
      <c r="E61" s="122">
        <v>46391.0</v>
      </c>
      <c r="F61" s="123" t="s">
        <v>530</v>
      </c>
      <c r="G61" s="189" t="s">
        <v>531</v>
      </c>
    </row>
    <row r="62">
      <c r="A62" s="250" t="s">
        <v>532</v>
      </c>
      <c r="B62" s="106">
        <v>80.0</v>
      </c>
      <c r="C62" s="108"/>
      <c r="D62" s="108"/>
      <c r="E62" s="122">
        <v>46399.0</v>
      </c>
      <c r="F62" s="123" t="s">
        <v>533</v>
      </c>
      <c r="G62" s="133" t="s">
        <v>534</v>
      </c>
    </row>
    <row r="63">
      <c r="A63" s="250" t="s">
        <v>535</v>
      </c>
      <c r="B63" s="106">
        <v>360.0</v>
      </c>
      <c r="C63" s="108"/>
      <c r="D63" s="108"/>
      <c r="E63" s="122">
        <v>46404.0</v>
      </c>
      <c r="F63" s="123" t="s">
        <v>537</v>
      </c>
      <c r="G63" s="133" t="s">
        <v>538</v>
      </c>
    </row>
    <row r="64">
      <c r="A64" s="250" t="s">
        <v>539</v>
      </c>
      <c r="B64" s="106">
        <v>280.0</v>
      </c>
      <c r="C64" s="108"/>
      <c r="D64" s="108"/>
      <c r="E64" s="122">
        <v>46399.0</v>
      </c>
      <c r="F64" s="123" t="s">
        <v>541</v>
      </c>
      <c r="G64" s="133" t="s">
        <v>542</v>
      </c>
    </row>
    <row r="65">
      <c r="A65" s="250" t="s">
        <v>543</v>
      </c>
      <c r="B65" s="106">
        <v>200.0</v>
      </c>
      <c r="C65" s="108"/>
      <c r="D65" s="108"/>
      <c r="E65" s="122">
        <v>46388.0</v>
      </c>
      <c r="F65" s="123" t="s">
        <v>544</v>
      </c>
      <c r="G65" s="133" t="s">
        <v>545</v>
      </c>
    </row>
    <row r="66">
      <c r="A66" s="251" t="s">
        <v>546</v>
      </c>
      <c r="B66" s="106">
        <v>0.0</v>
      </c>
      <c r="C66" s="108"/>
      <c r="D66" s="108"/>
      <c r="E66" s="114">
        <v>46387.0</v>
      </c>
      <c r="F66" s="58" t="s">
        <v>547</v>
      </c>
      <c r="G66" s="119" t="s">
        <v>548</v>
      </c>
    </row>
    <row r="67">
      <c r="A67" s="251" t="s">
        <v>549</v>
      </c>
      <c r="B67" s="106">
        <v>0.0</v>
      </c>
      <c r="C67" s="108"/>
      <c r="D67" s="108"/>
      <c r="E67" s="114">
        <v>46383.0</v>
      </c>
      <c r="F67" s="58" t="s">
        <v>551</v>
      </c>
      <c r="G67" s="119" t="s">
        <v>552</v>
      </c>
    </row>
    <row r="68">
      <c r="A68" s="251" t="s">
        <v>553</v>
      </c>
      <c r="B68" s="106">
        <v>0.0</v>
      </c>
      <c r="C68" s="108"/>
      <c r="D68" s="108"/>
      <c r="E68" s="114">
        <v>46383.0</v>
      </c>
      <c r="F68" s="58" t="s">
        <v>554</v>
      </c>
      <c r="G68" s="119" t="s">
        <v>555</v>
      </c>
    </row>
    <row r="69">
      <c r="A69" s="251" t="s">
        <v>557</v>
      </c>
      <c r="B69" s="106">
        <v>0.0</v>
      </c>
      <c r="C69" s="108"/>
      <c r="D69" s="108"/>
      <c r="E69" s="114">
        <v>46393.0</v>
      </c>
      <c r="F69" s="58" t="s">
        <v>558</v>
      </c>
      <c r="G69" s="119" t="s">
        <v>559</v>
      </c>
    </row>
    <row r="70">
      <c r="A70" s="250" t="s">
        <v>560</v>
      </c>
      <c r="B70" s="106">
        <v>0.0</v>
      </c>
      <c r="C70" s="108"/>
      <c r="D70" s="108"/>
      <c r="E70" s="114">
        <v>46381.0</v>
      </c>
      <c r="F70" s="58" t="s">
        <v>561</v>
      </c>
      <c r="G70" s="119" t="s">
        <v>562</v>
      </c>
    </row>
    <row r="71">
      <c r="A71" s="250" t="s">
        <v>563</v>
      </c>
      <c r="B71" s="106">
        <v>70.0</v>
      </c>
      <c r="C71" s="108"/>
      <c r="D71" s="108"/>
      <c r="E71" s="114">
        <v>46372.0</v>
      </c>
      <c r="F71" s="58" t="s">
        <v>565</v>
      </c>
      <c r="G71" s="119" t="s">
        <v>566</v>
      </c>
    </row>
    <row r="72">
      <c r="A72" s="250" t="s">
        <v>567</v>
      </c>
      <c r="B72" s="106">
        <v>0.0</v>
      </c>
      <c r="C72" s="108"/>
      <c r="D72" s="108"/>
      <c r="E72" s="114">
        <v>46376.0</v>
      </c>
      <c r="F72" s="58" t="s">
        <v>568</v>
      </c>
      <c r="G72" s="119" t="s">
        <v>569</v>
      </c>
    </row>
    <row r="73">
      <c r="A73" s="250"/>
      <c r="B73" s="106">
        <v>0.0</v>
      </c>
      <c r="C73" s="108"/>
      <c r="D73" s="108"/>
      <c r="E73" s="109"/>
      <c r="F73" s="110"/>
      <c r="G73" s="112"/>
    </row>
    <row r="74">
      <c r="A74" s="256"/>
      <c r="C74" s="108"/>
      <c r="D74" s="108"/>
      <c r="E74" s="109"/>
      <c r="F74" s="110"/>
      <c r="G74" s="112"/>
    </row>
    <row r="75">
      <c r="A75" s="257" t="s">
        <v>571</v>
      </c>
      <c r="B75" s="106"/>
      <c r="C75" s="108"/>
      <c r="D75" s="108"/>
      <c r="E75" s="109"/>
      <c r="F75" s="110"/>
      <c r="G75" s="112"/>
    </row>
    <row r="76">
      <c r="A76" s="258" t="s">
        <v>572</v>
      </c>
      <c r="B76" s="106">
        <v>20.0</v>
      </c>
      <c r="C76" s="108"/>
      <c r="D76" s="108"/>
      <c r="E76" s="114">
        <v>46425.0</v>
      </c>
      <c r="F76" s="58" t="s">
        <v>574</v>
      </c>
      <c r="G76" s="119" t="s">
        <v>575</v>
      </c>
    </row>
    <row r="77">
      <c r="A77" s="258" t="s">
        <v>576</v>
      </c>
      <c r="B77" s="106">
        <v>20.0</v>
      </c>
      <c r="C77" s="108"/>
      <c r="D77" s="108"/>
      <c r="E77" s="114">
        <v>46425.0</v>
      </c>
      <c r="F77" s="58" t="s">
        <v>577</v>
      </c>
      <c r="G77" s="119" t="s">
        <v>578</v>
      </c>
    </row>
    <row r="78">
      <c r="A78" s="258" t="s">
        <v>579</v>
      </c>
      <c r="B78" s="106">
        <v>200.0</v>
      </c>
      <c r="C78" s="108"/>
      <c r="D78" s="108"/>
      <c r="E78" s="114">
        <v>46414.0</v>
      </c>
      <c r="F78" s="110"/>
      <c r="G78" s="119" t="s">
        <v>580</v>
      </c>
    </row>
    <row r="79">
      <c r="A79" s="260"/>
      <c r="B79" s="106">
        <v>0.0</v>
      </c>
      <c r="C79" s="108"/>
      <c r="D79" s="108"/>
      <c r="E79" s="109"/>
      <c r="F79" s="110"/>
      <c r="G79" s="112"/>
    </row>
    <row r="80">
      <c r="A80" s="258"/>
      <c r="B80" s="106">
        <v>0.0</v>
      </c>
      <c r="C80" s="108"/>
      <c r="D80" s="108"/>
      <c r="E80" s="109"/>
      <c r="F80" s="110"/>
      <c r="G80" s="112"/>
    </row>
    <row r="81">
      <c r="A81" s="258"/>
      <c r="B81" s="106">
        <v>0.0</v>
      </c>
      <c r="C81" s="108"/>
      <c r="D81" s="108"/>
      <c r="E81" s="109"/>
      <c r="F81" s="110"/>
      <c r="G81" s="112"/>
    </row>
    <row r="82">
      <c r="A82" s="258"/>
      <c r="B82" s="106">
        <v>0.0</v>
      </c>
      <c r="C82" s="108"/>
      <c r="D82" s="108"/>
      <c r="E82" s="109"/>
      <c r="F82" s="110"/>
      <c r="G82" s="112"/>
    </row>
    <row r="83">
      <c r="A83" s="258"/>
      <c r="B83" s="106">
        <v>0.0</v>
      </c>
      <c r="C83" s="108"/>
      <c r="D83" s="108"/>
      <c r="E83" s="109"/>
      <c r="F83" s="110"/>
      <c r="G83" s="112"/>
    </row>
    <row r="84">
      <c r="A84" s="258"/>
      <c r="B84" s="106">
        <v>0.0</v>
      </c>
      <c r="C84" s="108"/>
      <c r="D84" s="108"/>
      <c r="E84" s="109"/>
      <c r="F84" s="110"/>
      <c r="G84" s="112"/>
    </row>
    <row r="85">
      <c r="A85" s="256"/>
      <c r="C85" s="108"/>
      <c r="D85" s="108"/>
      <c r="E85" s="109"/>
      <c r="F85" s="110"/>
      <c r="G85" s="112"/>
    </row>
    <row r="86">
      <c r="A86" s="261" t="s">
        <v>581</v>
      </c>
      <c r="B86" s="106"/>
      <c r="C86" s="108"/>
      <c r="D86" s="108"/>
      <c r="E86" s="109"/>
      <c r="F86" s="110"/>
      <c r="G86" s="112"/>
    </row>
    <row r="87">
      <c r="A87" s="262"/>
      <c r="B87" s="106"/>
      <c r="C87" s="108"/>
      <c r="D87" s="108"/>
      <c r="E87" s="109"/>
      <c r="F87" s="110"/>
      <c r="G87" s="112"/>
    </row>
    <row r="88">
      <c r="A88" s="262"/>
      <c r="B88" s="106"/>
      <c r="C88" s="108"/>
      <c r="D88" s="108"/>
      <c r="E88" s="109"/>
      <c r="F88" s="110"/>
      <c r="G88" s="112"/>
    </row>
    <row r="89">
      <c r="A89" s="262"/>
      <c r="B89" s="106"/>
      <c r="C89" s="108"/>
      <c r="D89" s="108"/>
      <c r="E89" s="109"/>
      <c r="F89" s="110"/>
      <c r="G89" s="112"/>
    </row>
    <row r="90">
      <c r="A90" s="256"/>
      <c r="B90" s="263"/>
      <c r="C90" s="108"/>
      <c r="D90" s="108"/>
      <c r="E90" s="109"/>
      <c r="F90" s="110"/>
      <c r="G90" s="112"/>
    </row>
    <row r="91">
      <c r="A91" s="256"/>
      <c r="B91" s="263"/>
      <c r="C91" s="264"/>
      <c r="D91" s="264"/>
      <c r="E91" s="109"/>
      <c r="F91" s="110"/>
      <c r="G91" s="112"/>
    </row>
    <row r="92">
      <c r="A92" s="265" t="s">
        <v>582</v>
      </c>
      <c r="B92" s="267">
        <f>SUM(B3:B91)</f>
        <v>5421</v>
      </c>
      <c r="C92" s="268"/>
      <c r="D92" s="269"/>
      <c r="E92" s="109"/>
      <c r="F92" s="110"/>
      <c r="G92" s="112"/>
    </row>
    <row r="93">
      <c r="A93" s="270" t="s">
        <v>25</v>
      </c>
      <c r="B93" s="271">
        <f>SUMIF(C2:C91,"Ja",B2:B91)</f>
        <v>1245</v>
      </c>
      <c r="C93" s="272"/>
      <c r="E93" s="109"/>
      <c r="F93" s="110"/>
      <c r="G93" s="273"/>
    </row>
  </sheetData>
  <conditionalFormatting sqref="C2:D92">
    <cfRule type="cellIs" dxfId="0" priority="1" operator="equal">
      <formula>"JA"</formula>
    </cfRule>
  </conditionalFormatting>
  <conditionalFormatting sqref="C2:D92">
    <cfRule type="cellIs" dxfId="1" priority="2" operator="equal">
      <formula>"NEE"</formula>
    </cfRule>
  </conditionalFormatting>
  <conditionalFormatting sqref="C2:D92">
    <cfRule type="containsBlanks" dxfId="2" priority="3">
      <formula>LEN(TRIM(C2))=0</formula>
    </cfRule>
  </conditionalFormatting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4"/>
    <hyperlink r:id="rId10" ref="G15"/>
    <hyperlink r:id="rId11" ref="G18"/>
    <hyperlink r:id="rId12" ref="G19"/>
    <hyperlink r:id="rId13" ref="G20"/>
    <hyperlink r:id="rId14" ref="G23"/>
    <hyperlink r:id="rId15" ref="G24"/>
    <hyperlink r:id="rId16" ref="G25"/>
    <hyperlink r:id="rId17" ref="G26"/>
    <hyperlink r:id="rId18" ref="G27"/>
    <hyperlink r:id="rId19" ref="G28"/>
    <hyperlink r:id="rId20" ref="G29"/>
    <hyperlink r:id="rId21" ref="G30"/>
    <hyperlink r:id="rId22" ref="G31"/>
    <hyperlink r:id="rId23" ref="G32"/>
    <hyperlink r:id="rId24" ref="G34"/>
    <hyperlink r:id="rId25" ref="G35"/>
    <hyperlink r:id="rId26" ref="G36"/>
    <hyperlink r:id="rId27" ref="G37"/>
    <hyperlink r:id="rId28" ref="G39"/>
    <hyperlink r:id="rId29" ref="G40"/>
    <hyperlink r:id="rId30" ref="G42"/>
    <hyperlink r:id="rId31" ref="G43"/>
    <hyperlink r:id="rId32" ref="G44"/>
    <hyperlink r:id="rId33" ref="G45"/>
    <hyperlink r:id="rId34" ref="G47"/>
    <hyperlink r:id="rId35" ref="G48"/>
    <hyperlink r:id="rId36" ref="G49"/>
    <hyperlink r:id="rId37" ref="G50"/>
    <hyperlink r:id="rId38" ref="G51"/>
    <hyperlink r:id="rId39" ref="G52"/>
    <hyperlink r:id="rId40" ref="G58"/>
    <hyperlink r:id="rId41" ref="G59"/>
    <hyperlink r:id="rId42" ref="G60"/>
    <hyperlink r:id="rId43" ref="G61"/>
    <hyperlink r:id="rId44" ref="G62"/>
    <hyperlink r:id="rId45" ref="G63"/>
    <hyperlink r:id="rId46" ref="G64"/>
    <hyperlink r:id="rId47" ref="G65"/>
    <hyperlink r:id="rId48" ref="G66"/>
    <hyperlink r:id="rId49" ref="G67"/>
    <hyperlink r:id="rId50" ref="G68"/>
    <hyperlink r:id="rId51" ref="G69"/>
    <hyperlink r:id="rId52" ref="G70"/>
    <hyperlink r:id="rId53" ref="G71"/>
    <hyperlink r:id="rId54" ref="G72"/>
    <hyperlink r:id="rId55" ref="G76"/>
    <hyperlink r:id="rId56" ref="G77"/>
    <hyperlink r:id="rId57" ref="G78"/>
  </hyperlinks>
  <drawing r:id="rId5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78"/>
    <col customWidth="1" min="2" max="2" width="9.89"/>
    <col customWidth="1" min="3" max="3" width="53.89"/>
    <col customWidth="1" min="4" max="4" width="40.11"/>
    <col customWidth="1" min="5" max="5" width="14.56"/>
    <col customWidth="1" min="6" max="6" width="12.11"/>
    <col customWidth="1" min="7" max="7" width="8.44"/>
    <col customWidth="1" min="8" max="8" width="13.67"/>
    <col customWidth="1" min="9" max="9" width="41.44"/>
  </cols>
  <sheetData>
    <row r="2">
      <c r="A2" s="277" t="s">
        <v>593</v>
      </c>
      <c r="B2" s="4"/>
      <c r="C2" s="4"/>
      <c r="D2" s="4"/>
      <c r="E2" s="4"/>
      <c r="F2" s="4"/>
      <c r="G2" s="4"/>
      <c r="H2" s="4"/>
      <c r="I2" s="7"/>
    </row>
    <row r="3">
      <c r="A3" s="278" t="s">
        <v>9</v>
      </c>
      <c r="B3" s="280" t="s">
        <v>595</v>
      </c>
      <c r="C3" s="280" t="s">
        <v>596</v>
      </c>
      <c r="D3" s="280" t="s">
        <v>597</v>
      </c>
      <c r="E3" s="280" t="s">
        <v>7</v>
      </c>
      <c r="F3" s="281" t="s">
        <v>598</v>
      </c>
      <c r="G3" s="280" t="s">
        <v>14</v>
      </c>
      <c r="H3" s="281" t="s">
        <v>600</v>
      </c>
      <c r="I3" s="282" t="s">
        <v>601</v>
      </c>
    </row>
    <row r="4">
      <c r="A4" s="283">
        <v>46284.0</v>
      </c>
      <c r="B4" s="285">
        <v>0.3298611111111111</v>
      </c>
      <c r="C4" s="287" t="s">
        <v>604</v>
      </c>
      <c r="D4" s="287" t="s">
        <v>606</v>
      </c>
      <c r="E4" s="288">
        <v>46284.0</v>
      </c>
      <c r="F4" s="285">
        <v>0.34375</v>
      </c>
      <c r="G4" s="290">
        <v>2043.0</v>
      </c>
      <c r="H4" s="290" t="s">
        <v>609</v>
      </c>
      <c r="I4" s="290" t="s">
        <v>610</v>
      </c>
    </row>
    <row r="5">
      <c r="A5" s="283">
        <v>46284.0</v>
      </c>
      <c r="B5" s="285">
        <v>0.4479166666666667</v>
      </c>
      <c r="C5" s="287" t="s">
        <v>606</v>
      </c>
      <c r="D5" s="287" t="s">
        <v>60</v>
      </c>
      <c r="E5" s="288">
        <v>46284.0</v>
      </c>
      <c r="F5" s="285">
        <v>0.5763888888888888</v>
      </c>
      <c r="G5" s="290">
        <v>0.0</v>
      </c>
      <c r="H5" s="290" t="s">
        <v>612</v>
      </c>
      <c r="I5" s="290" t="s">
        <v>614</v>
      </c>
    </row>
    <row r="6">
      <c r="A6" s="283">
        <v>46311.0</v>
      </c>
      <c r="B6" s="285">
        <v>0.9548611111111112</v>
      </c>
      <c r="C6" s="287" t="s">
        <v>60</v>
      </c>
      <c r="D6" s="287" t="s">
        <v>615</v>
      </c>
      <c r="E6" s="300">
        <v>46313.0</v>
      </c>
      <c r="F6" s="285">
        <v>0.2222222222222222</v>
      </c>
      <c r="G6" s="290">
        <v>1100.0</v>
      </c>
      <c r="H6" s="290" t="s">
        <v>618</v>
      </c>
      <c r="I6" s="290" t="s">
        <v>619</v>
      </c>
    </row>
    <row r="7">
      <c r="A7" s="283">
        <v>46321.0</v>
      </c>
      <c r="B7" s="285">
        <v>0.3472222222222222</v>
      </c>
      <c r="C7" s="287" t="s">
        <v>615</v>
      </c>
      <c r="D7" s="287" t="s">
        <v>489</v>
      </c>
      <c r="E7" s="300">
        <v>46321.0</v>
      </c>
      <c r="F7" s="285">
        <v>0.4409722222222222</v>
      </c>
      <c r="G7" s="290">
        <v>741.0</v>
      </c>
      <c r="H7" s="290" t="s">
        <v>624</v>
      </c>
      <c r="I7" s="290" t="s">
        <v>619</v>
      </c>
    </row>
    <row r="8">
      <c r="A8" s="283">
        <v>46334.0</v>
      </c>
      <c r="B8" s="285">
        <v>0.4826388888888889</v>
      </c>
      <c r="C8" s="287" t="s">
        <v>489</v>
      </c>
      <c r="D8" s="287" t="s">
        <v>588</v>
      </c>
      <c r="E8" s="288">
        <v>46334.0</v>
      </c>
      <c r="F8" s="285">
        <v>0.5833333333333334</v>
      </c>
      <c r="G8" s="290">
        <v>440.0</v>
      </c>
      <c r="H8" s="290" t="s">
        <v>627</v>
      </c>
      <c r="I8" s="290" t="s">
        <v>628</v>
      </c>
    </row>
    <row r="9">
      <c r="A9" s="283">
        <v>46344.0</v>
      </c>
      <c r="B9" s="285">
        <v>0.4548611111111111</v>
      </c>
      <c r="C9" s="287" t="s">
        <v>588</v>
      </c>
      <c r="D9" s="287" t="s">
        <v>592</v>
      </c>
      <c r="E9" s="300">
        <v>46344.0</v>
      </c>
      <c r="F9" s="285">
        <v>0.6215277777777778</v>
      </c>
      <c r="G9" s="290">
        <v>440.0</v>
      </c>
      <c r="H9" s="290" t="s">
        <v>633</v>
      </c>
      <c r="I9" s="290" t="s">
        <v>628</v>
      </c>
    </row>
    <row r="10">
      <c r="A10" s="283">
        <v>46369.0</v>
      </c>
      <c r="B10" s="285">
        <v>0.5034722222222222</v>
      </c>
      <c r="C10" s="287" t="s">
        <v>636</v>
      </c>
      <c r="D10" s="287" t="s">
        <v>638</v>
      </c>
      <c r="E10" s="300">
        <v>46369.0</v>
      </c>
      <c r="F10" s="285">
        <v>0.7222222222222222</v>
      </c>
      <c r="G10" s="290">
        <v>1015.0</v>
      </c>
      <c r="H10" s="290" t="s">
        <v>640</v>
      </c>
      <c r="I10" s="290" t="s">
        <v>642</v>
      </c>
    </row>
    <row r="11">
      <c r="A11" s="283">
        <v>46408.0</v>
      </c>
      <c r="B11" s="285">
        <v>0.4722222222222222</v>
      </c>
      <c r="C11" s="287" t="s">
        <v>643</v>
      </c>
      <c r="D11" s="287" t="s">
        <v>645</v>
      </c>
      <c r="E11" s="288">
        <v>46408.0</v>
      </c>
      <c r="F11" s="285">
        <v>0.7048611111111112</v>
      </c>
      <c r="G11" s="290">
        <v>1200.0</v>
      </c>
      <c r="H11" s="290" t="s">
        <v>648</v>
      </c>
      <c r="I11" s="290" t="s">
        <v>610</v>
      </c>
    </row>
    <row r="12">
      <c r="A12" s="283">
        <v>46412.0</v>
      </c>
      <c r="B12" s="285">
        <v>0.5416666666666666</v>
      </c>
      <c r="C12" s="287" t="s">
        <v>645</v>
      </c>
      <c r="D12" s="287" t="s">
        <v>649</v>
      </c>
      <c r="E12" s="288">
        <v>46412.0</v>
      </c>
      <c r="F12" s="285">
        <v>0.5868055555555556</v>
      </c>
      <c r="G12" s="290">
        <v>570.0</v>
      </c>
      <c r="H12" s="290" t="s">
        <v>651</v>
      </c>
      <c r="I12" s="290" t="s">
        <v>652</v>
      </c>
    </row>
    <row r="13">
      <c r="A13" s="283">
        <v>46427.0</v>
      </c>
      <c r="B13" s="285">
        <v>0.3472222222222222</v>
      </c>
      <c r="C13" s="287" t="s">
        <v>649</v>
      </c>
      <c r="D13" s="287" t="s">
        <v>656</v>
      </c>
      <c r="E13" s="288">
        <v>46427.0</v>
      </c>
      <c r="F13" s="285">
        <v>0.4756944444444444</v>
      </c>
      <c r="G13" s="290">
        <v>1300.0</v>
      </c>
      <c r="H13" s="290" t="s">
        <v>659</v>
      </c>
      <c r="I13" s="290" t="s">
        <v>660</v>
      </c>
    </row>
    <row r="14">
      <c r="A14" s="283">
        <v>46430.0</v>
      </c>
      <c r="B14" s="285">
        <v>0.3506944444444444</v>
      </c>
      <c r="C14" s="287" t="s">
        <v>656</v>
      </c>
      <c r="D14" s="287" t="s">
        <v>662</v>
      </c>
      <c r="E14" s="288">
        <v>46430.0</v>
      </c>
      <c r="F14" s="285">
        <v>0.6909722222222222</v>
      </c>
      <c r="G14" s="290">
        <v>1300.0</v>
      </c>
      <c r="H14" s="290" t="s">
        <v>664</v>
      </c>
      <c r="I14" s="290" t="s">
        <v>660</v>
      </c>
    </row>
    <row r="15">
      <c r="A15" s="283">
        <v>46440.0</v>
      </c>
      <c r="B15" s="285">
        <v>0.9097222222222222</v>
      </c>
      <c r="C15" s="287" t="s">
        <v>666</v>
      </c>
      <c r="D15" s="287" t="s">
        <v>604</v>
      </c>
      <c r="E15" s="288">
        <v>46441.0</v>
      </c>
      <c r="F15" s="285">
        <v>0.3194444444444444</v>
      </c>
      <c r="G15" s="290">
        <v>2600.0</v>
      </c>
      <c r="H15" s="290" t="s">
        <v>668</v>
      </c>
      <c r="I15" s="290" t="s">
        <v>669</v>
      </c>
    </row>
    <row r="16">
      <c r="A16" s="315"/>
      <c r="B16" s="125"/>
      <c r="C16" s="125"/>
      <c r="D16" s="125"/>
      <c r="E16" s="153"/>
      <c r="F16" s="153"/>
      <c r="G16" s="153"/>
      <c r="H16" s="153"/>
      <c r="I16" s="130"/>
    </row>
    <row r="17">
      <c r="A17" s="315"/>
      <c r="B17" s="125"/>
      <c r="C17" s="125"/>
      <c r="D17" s="125"/>
      <c r="E17" s="153"/>
      <c r="F17" s="153"/>
      <c r="G17" s="153"/>
      <c r="H17" s="153"/>
      <c r="I17" s="130"/>
    </row>
    <row r="18">
      <c r="A18" s="315"/>
      <c r="B18" s="125"/>
      <c r="C18" s="125"/>
      <c r="D18" s="125"/>
      <c r="E18" s="153"/>
      <c r="F18" s="153"/>
      <c r="G18" s="153"/>
      <c r="H18" s="153"/>
      <c r="I18" s="130"/>
    </row>
    <row r="19">
      <c r="A19" s="315"/>
      <c r="B19" s="125"/>
      <c r="C19" s="125"/>
      <c r="D19" s="125"/>
      <c r="E19" s="153"/>
      <c r="F19" s="153"/>
      <c r="G19" s="153"/>
      <c r="H19" s="153"/>
      <c r="I19" s="130"/>
    </row>
    <row r="20">
      <c r="A20" s="315"/>
      <c r="B20" s="125"/>
      <c r="C20" s="125"/>
      <c r="D20" s="125"/>
      <c r="E20" s="153"/>
      <c r="F20" s="153"/>
      <c r="G20" s="153"/>
      <c r="H20" s="153"/>
      <c r="I20" s="130"/>
    </row>
    <row r="21">
      <c r="A21" s="315"/>
      <c r="B21" s="125"/>
      <c r="C21" s="125"/>
      <c r="D21" s="125"/>
      <c r="E21" s="153"/>
      <c r="F21" s="153"/>
      <c r="G21" s="153"/>
      <c r="H21" s="153"/>
      <c r="I21" s="130"/>
    </row>
    <row r="22">
      <c r="A22" s="315"/>
      <c r="B22" s="125"/>
      <c r="C22" s="125"/>
      <c r="D22" s="125"/>
      <c r="E22" s="153"/>
      <c r="F22" s="153"/>
      <c r="G22" s="153"/>
      <c r="H22" s="153"/>
      <c r="I22" s="130"/>
    </row>
    <row r="23">
      <c r="A23" s="315"/>
      <c r="B23" s="125"/>
      <c r="C23" s="125"/>
      <c r="D23" s="125"/>
      <c r="E23" s="153"/>
      <c r="F23" s="153"/>
      <c r="G23" s="153"/>
      <c r="H23" s="153"/>
      <c r="I23" s="130"/>
    </row>
    <row r="24">
      <c r="A24" s="315"/>
      <c r="B24" s="125"/>
      <c r="C24" s="125"/>
      <c r="D24" s="125"/>
      <c r="E24" s="153"/>
      <c r="F24" s="153"/>
      <c r="G24" s="153"/>
      <c r="H24" s="153"/>
      <c r="I24" s="130"/>
    </row>
    <row r="25">
      <c r="A25" s="315"/>
      <c r="B25" s="125"/>
      <c r="C25" s="125"/>
      <c r="D25" s="125"/>
      <c r="E25" s="153"/>
      <c r="F25" s="153"/>
      <c r="G25" s="153"/>
      <c r="H25" s="153"/>
      <c r="I25" s="130"/>
    </row>
    <row r="26">
      <c r="A26" s="315"/>
      <c r="B26" s="125"/>
      <c r="C26" s="125"/>
      <c r="D26" s="125"/>
      <c r="E26" s="153"/>
      <c r="F26" s="153"/>
      <c r="G26" s="153"/>
      <c r="H26" s="153"/>
      <c r="I26" s="130"/>
    </row>
    <row r="27">
      <c r="A27" s="315"/>
      <c r="B27" s="125"/>
      <c r="C27" s="125"/>
      <c r="D27" s="125"/>
      <c r="E27" s="153"/>
      <c r="F27" s="153"/>
      <c r="G27" s="153"/>
      <c r="H27" s="153"/>
      <c r="I27" s="130"/>
    </row>
    <row r="28">
      <c r="A28" s="315"/>
      <c r="B28" s="125"/>
      <c r="C28" s="125"/>
      <c r="D28" s="125"/>
      <c r="E28" s="153"/>
      <c r="F28" s="153"/>
      <c r="G28" s="153"/>
      <c r="H28" s="153"/>
      <c r="I28" s="130"/>
    </row>
    <row r="29">
      <c r="A29" s="317"/>
      <c r="B29" s="318"/>
      <c r="C29" s="318"/>
      <c r="D29" s="318"/>
      <c r="E29" s="319"/>
      <c r="F29" s="320" t="s">
        <v>72</v>
      </c>
      <c r="G29" s="319">
        <f>SUM(G4:G28)</f>
        <v>12749</v>
      </c>
      <c r="H29" s="319"/>
      <c r="I29" s="321"/>
    </row>
    <row r="32">
      <c r="A32" s="277" t="s">
        <v>716</v>
      </c>
      <c r="B32" s="4"/>
      <c r="C32" s="4"/>
      <c r="D32" s="4"/>
      <c r="E32" s="4"/>
      <c r="F32" s="4"/>
      <c r="G32" s="4"/>
      <c r="H32" s="4"/>
      <c r="I32" s="7"/>
    </row>
    <row r="33">
      <c r="A33" s="278" t="s">
        <v>718</v>
      </c>
      <c r="B33" s="280" t="s">
        <v>720</v>
      </c>
      <c r="C33" s="280" t="s">
        <v>721</v>
      </c>
      <c r="D33" s="280" t="s">
        <v>723</v>
      </c>
      <c r="E33" s="280" t="s">
        <v>724</v>
      </c>
      <c r="F33" s="281" t="s">
        <v>726</v>
      </c>
      <c r="G33" s="280" t="s">
        <v>14</v>
      </c>
      <c r="H33" s="281" t="s">
        <v>729</v>
      </c>
      <c r="I33" s="282" t="s">
        <v>731</v>
      </c>
    </row>
    <row r="34">
      <c r="A34" s="315">
        <v>46287.0</v>
      </c>
      <c r="B34" s="325">
        <v>0.4166666666666667</v>
      </c>
      <c r="C34" s="125" t="s">
        <v>736</v>
      </c>
      <c r="D34" s="125" t="s">
        <v>737</v>
      </c>
      <c r="E34" s="333">
        <v>46311.0</v>
      </c>
      <c r="F34" s="325">
        <v>0.8333333333333334</v>
      </c>
      <c r="G34" s="153">
        <v>1153.1</v>
      </c>
      <c r="H34" s="136" t="s">
        <v>743</v>
      </c>
      <c r="I34" s="130" t="s">
        <v>745</v>
      </c>
    </row>
    <row r="35">
      <c r="A35" s="315">
        <v>46324.0</v>
      </c>
      <c r="B35" s="325">
        <v>0.4166666666666667</v>
      </c>
      <c r="C35" s="125" t="s">
        <v>747</v>
      </c>
      <c r="D35" s="125" t="s">
        <v>749</v>
      </c>
      <c r="E35" s="339">
        <v>46334.0</v>
      </c>
      <c r="F35" s="325">
        <v>0.3958333333333333</v>
      </c>
      <c r="G35" s="153">
        <v>380.0</v>
      </c>
      <c r="H35" s="136" t="s">
        <v>752</v>
      </c>
      <c r="I35" s="130" t="s">
        <v>753</v>
      </c>
    </row>
    <row r="36">
      <c r="A36" s="315">
        <v>46334.0</v>
      </c>
      <c r="B36" s="325">
        <v>0.5833333333333334</v>
      </c>
      <c r="C36" s="125" t="s">
        <v>756</v>
      </c>
      <c r="D36" s="125" t="s">
        <v>756</v>
      </c>
      <c r="E36" s="333">
        <v>46344.0</v>
      </c>
      <c r="F36" s="325">
        <v>0.375</v>
      </c>
      <c r="G36" s="153">
        <v>239.1</v>
      </c>
      <c r="H36" s="136" t="s">
        <v>759</v>
      </c>
      <c r="I36" s="130" t="s">
        <v>761</v>
      </c>
    </row>
    <row r="37">
      <c r="A37" s="315">
        <v>46348.0</v>
      </c>
      <c r="B37" s="325">
        <v>0.4583333333333333</v>
      </c>
      <c r="C37" s="125" t="s">
        <v>763</v>
      </c>
      <c r="D37" s="125" t="s">
        <v>764</v>
      </c>
      <c r="E37" s="339">
        <v>42714.0</v>
      </c>
      <c r="F37" s="325">
        <v>0.4583333333333333</v>
      </c>
      <c r="G37" s="153">
        <v>1250.0</v>
      </c>
      <c r="H37" s="136" t="s">
        <v>767</v>
      </c>
      <c r="I37" s="130" t="s">
        <v>768</v>
      </c>
    </row>
    <row r="38">
      <c r="A38" s="315">
        <v>46372.0</v>
      </c>
      <c r="B38" s="325">
        <v>0.4583333333333333</v>
      </c>
      <c r="C38" s="125" t="s">
        <v>770</v>
      </c>
      <c r="D38" s="125" t="s">
        <v>771</v>
      </c>
      <c r="E38" s="339">
        <v>46406.0</v>
      </c>
      <c r="F38" s="325">
        <v>0.4583333333333333</v>
      </c>
      <c r="G38" s="153">
        <v>1500.0</v>
      </c>
      <c r="H38" s="136" t="s">
        <v>772</v>
      </c>
      <c r="I38" s="130" t="s">
        <v>773</v>
      </c>
    </row>
    <row r="39">
      <c r="A39" s="315"/>
      <c r="B39" s="125"/>
      <c r="C39" s="125"/>
      <c r="D39" s="125"/>
      <c r="E39" s="153"/>
      <c r="F39" s="153"/>
      <c r="G39" s="153"/>
      <c r="H39" s="136"/>
      <c r="I39" s="130"/>
    </row>
    <row r="40">
      <c r="A40" s="315"/>
      <c r="B40" s="125"/>
      <c r="C40" s="125"/>
      <c r="D40" s="125"/>
      <c r="E40" s="153"/>
      <c r="F40" s="153"/>
      <c r="G40" s="153"/>
      <c r="H40" s="136"/>
      <c r="I40" s="130"/>
    </row>
    <row r="41">
      <c r="A41" s="315"/>
      <c r="B41" s="125"/>
      <c r="C41" s="125"/>
      <c r="D41" s="125"/>
      <c r="E41" s="153"/>
      <c r="F41" s="153"/>
      <c r="G41" s="153"/>
      <c r="H41" s="136"/>
      <c r="I41" s="130"/>
    </row>
    <row r="42">
      <c r="A42" s="315"/>
      <c r="B42" s="125"/>
      <c r="C42" s="125"/>
      <c r="D42" s="125"/>
      <c r="E42" s="153"/>
      <c r="F42" s="153"/>
      <c r="G42" s="153"/>
      <c r="H42" s="136"/>
      <c r="I42" s="130"/>
    </row>
    <row r="43">
      <c r="A43" s="315"/>
      <c r="B43" s="125"/>
      <c r="C43" s="125"/>
      <c r="D43" s="351"/>
      <c r="E43" s="351"/>
      <c r="F43" s="351"/>
      <c r="G43" s="351"/>
      <c r="H43" s="136"/>
      <c r="I43" s="352"/>
    </row>
    <row r="44">
      <c r="A44" s="315"/>
      <c r="B44" s="125"/>
      <c r="C44" s="125"/>
      <c r="D44" s="351"/>
      <c r="E44" s="351"/>
      <c r="F44" s="351"/>
      <c r="G44" s="351"/>
      <c r="H44" s="136"/>
      <c r="I44" s="352"/>
    </row>
    <row r="45">
      <c r="A45" s="315"/>
      <c r="B45" s="125"/>
      <c r="C45" s="125"/>
      <c r="D45" s="351"/>
      <c r="E45" s="351"/>
      <c r="F45" s="351"/>
      <c r="G45" s="351"/>
      <c r="H45" s="136"/>
      <c r="I45" s="352"/>
    </row>
    <row r="46">
      <c r="A46" s="315"/>
      <c r="B46" s="125"/>
      <c r="C46" s="125"/>
      <c r="D46" s="351"/>
      <c r="E46" s="351"/>
      <c r="F46" s="351"/>
      <c r="G46" s="351"/>
      <c r="H46" s="136"/>
      <c r="I46" s="352"/>
    </row>
    <row r="47">
      <c r="A47" s="315"/>
      <c r="B47" s="125"/>
      <c r="C47" s="125"/>
      <c r="D47" s="351"/>
      <c r="E47" s="351"/>
      <c r="F47" s="351"/>
      <c r="G47" s="351"/>
      <c r="H47" s="136"/>
      <c r="I47" s="352"/>
    </row>
    <row r="48">
      <c r="A48" s="315"/>
      <c r="B48" s="125"/>
      <c r="C48" s="125"/>
      <c r="D48" s="351"/>
      <c r="E48" s="351"/>
      <c r="F48" s="351"/>
      <c r="G48" s="351"/>
      <c r="H48" s="136"/>
      <c r="I48" s="352"/>
    </row>
    <row r="49">
      <c r="A49" s="315"/>
      <c r="B49" s="125"/>
      <c r="C49" s="125"/>
      <c r="D49" s="351"/>
      <c r="E49" s="351"/>
      <c r="F49" s="351"/>
      <c r="G49" s="351"/>
      <c r="H49" s="136"/>
      <c r="I49" s="352"/>
    </row>
    <row r="50">
      <c r="A50" s="315"/>
      <c r="B50" s="125"/>
      <c r="C50" s="125"/>
      <c r="D50" s="351"/>
      <c r="E50" s="351"/>
      <c r="F50" s="351"/>
      <c r="G50" s="351"/>
      <c r="H50" s="136"/>
      <c r="I50" s="352"/>
    </row>
    <row r="51">
      <c r="A51" s="317"/>
      <c r="B51" s="354"/>
      <c r="C51" s="354"/>
      <c r="D51" s="354"/>
      <c r="E51" s="354"/>
      <c r="F51" s="318" t="s">
        <v>72</v>
      </c>
      <c r="G51" s="355">
        <f>SUM(G34:G50)</f>
        <v>4522.2</v>
      </c>
      <c r="H51" s="356"/>
      <c r="I51" s="357"/>
    </row>
    <row r="54">
      <c r="A54" s="277" t="s">
        <v>779</v>
      </c>
      <c r="B54" s="4"/>
      <c r="C54" s="4"/>
      <c r="D54" s="4"/>
      <c r="E54" s="4"/>
      <c r="F54" s="4"/>
      <c r="G54" s="4"/>
      <c r="H54" s="4"/>
      <c r="I54" s="7"/>
    </row>
    <row r="55">
      <c r="A55" s="278" t="s">
        <v>781</v>
      </c>
      <c r="B55" s="280" t="s">
        <v>595</v>
      </c>
      <c r="C55" s="280" t="s">
        <v>782</v>
      </c>
      <c r="D55" s="280" t="s">
        <v>783</v>
      </c>
      <c r="E55" s="280" t="s">
        <v>784</v>
      </c>
      <c r="F55" s="281" t="s">
        <v>785</v>
      </c>
      <c r="G55" s="280" t="s">
        <v>14</v>
      </c>
      <c r="H55" s="281" t="s">
        <v>729</v>
      </c>
      <c r="I55" s="282" t="s">
        <v>731</v>
      </c>
    </row>
    <row r="56">
      <c r="A56" s="315"/>
      <c r="B56" s="351"/>
      <c r="C56" s="351"/>
      <c r="D56" s="351"/>
      <c r="E56" s="351"/>
      <c r="F56" s="351"/>
      <c r="G56" s="360"/>
      <c r="H56" s="351"/>
      <c r="I56" s="352"/>
    </row>
    <row r="57">
      <c r="A57" s="315"/>
      <c r="B57" s="351"/>
      <c r="C57" s="351"/>
      <c r="D57" s="351"/>
      <c r="E57" s="351"/>
      <c r="F57" s="351"/>
      <c r="G57" s="360"/>
      <c r="H57" s="351"/>
      <c r="I57" s="352"/>
    </row>
    <row r="58">
      <c r="A58" s="315"/>
      <c r="B58" s="351"/>
      <c r="C58" s="351"/>
      <c r="D58" s="351"/>
      <c r="E58" s="351"/>
      <c r="F58" s="351"/>
      <c r="G58" s="360"/>
      <c r="H58" s="351"/>
      <c r="I58" s="352"/>
    </row>
    <row r="59">
      <c r="A59" s="315"/>
      <c r="B59" s="351"/>
      <c r="C59" s="351"/>
      <c r="D59" s="351"/>
      <c r="E59" s="351"/>
      <c r="F59" s="351"/>
      <c r="G59" s="360"/>
      <c r="H59" s="351"/>
      <c r="I59" s="352"/>
    </row>
    <row r="60">
      <c r="A60" s="315"/>
      <c r="B60" s="351"/>
      <c r="C60" s="351"/>
      <c r="D60" s="351"/>
      <c r="E60" s="351"/>
      <c r="F60" s="351"/>
      <c r="G60" s="360"/>
      <c r="H60" s="351"/>
      <c r="I60" s="352"/>
    </row>
    <row r="61">
      <c r="A61" s="315"/>
      <c r="B61" s="351"/>
      <c r="C61" s="351"/>
      <c r="D61" s="351"/>
      <c r="E61" s="351"/>
      <c r="F61" s="351"/>
      <c r="G61" s="360"/>
      <c r="H61" s="351"/>
      <c r="I61" s="352"/>
    </row>
    <row r="62">
      <c r="A62" s="315"/>
      <c r="B62" s="351"/>
      <c r="C62" s="351"/>
      <c r="D62" s="351"/>
      <c r="E62" s="351"/>
      <c r="F62" s="351"/>
      <c r="G62" s="360"/>
      <c r="H62" s="351"/>
      <c r="I62" s="352"/>
    </row>
    <row r="63">
      <c r="A63" s="315"/>
      <c r="B63" s="351"/>
      <c r="C63" s="125" t="s">
        <v>571</v>
      </c>
      <c r="D63" s="351"/>
      <c r="E63" s="351"/>
      <c r="F63" s="351"/>
      <c r="G63" s="360">
        <v>480.0</v>
      </c>
      <c r="H63" s="351"/>
      <c r="I63" s="352"/>
    </row>
    <row r="64">
      <c r="A64" s="315"/>
      <c r="B64" s="351"/>
      <c r="C64" s="351"/>
      <c r="D64" s="351"/>
      <c r="E64" s="351"/>
      <c r="F64" s="351"/>
      <c r="G64" s="360"/>
      <c r="H64" s="351"/>
      <c r="I64" s="352"/>
    </row>
    <row r="65">
      <c r="A65" s="315"/>
      <c r="B65" s="351"/>
      <c r="C65" s="351"/>
      <c r="D65" s="351"/>
      <c r="E65" s="351"/>
      <c r="F65" s="351"/>
      <c r="G65" s="360"/>
      <c r="H65" s="351"/>
      <c r="I65" s="352"/>
    </row>
    <row r="66">
      <c r="A66" s="315"/>
      <c r="B66" s="351"/>
      <c r="C66" s="351"/>
      <c r="D66" s="351"/>
      <c r="E66" s="351"/>
      <c r="F66" s="351"/>
      <c r="G66" s="360"/>
      <c r="H66" s="351"/>
      <c r="I66" s="352"/>
    </row>
    <row r="67">
      <c r="A67" s="315"/>
      <c r="B67" s="351"/>
      <c r="C67" s="351"/>
      <c r="D67" s="351"/>
      <c r="E67" s="351"/>
      <c r="F67" s="351"/>
      <c r="G67" s="360"/>
      <c r="H67" s="351"/>
      <c r="I67" s="352"/>
    </row>
    <row r="68">
      <c r="A68" s="315"/>
      <c r="B68" s="351"/>
      <c r="C68" s="351"/>
      <c r="D68" s="351"/>
      <c r="E68" s="351"/>
      <c r="F68" s="351"/>
      <c r="G68" s="360"/>
      <c r="H68" s="351"/>
      <c r="I68" s="352"/>
    </row>
    <row r="69">
      <c r="A69" s="315"/>
      <c r="B69" s="351"/>
      <c r="C69" s="351"/>
      <c r="D69" s="351"/>
      <c r="E69" s="351"/>
      <c r="F69" s="351"/>
      <c r="G69" s="360"/>
      <c r="H69" s="351"/>
      <c r="I69" s="352"/>
    </row>
    <row r="70">
      <c r="A70" s="315"/>
      <c r="B70" s="351"/>
      <c r="C70" s="351"/>
      <c r="D70" s="351"/>
      <c r="E70" s="351"/>
      <c r="F70" s="351"/>
      <c r="G70" s="360"/>
      <c r="H70" s="351"/>
      <c r="I70" s="352"/>
    </row>
    <row r="71">
      <c r="A71" s="315"/>
      <c r="B71" s="351"/>
      <c r="C71" s="351"/>
      <c r="D71" s="351"/>
      <c r="E71" s="351"/>
      <c r="F71" s="351"/>
      <c r="G71" s="360"/>
      <c r="H71" s="351"/>
      <c r="I71" s="352"/>
    </row>
    <row r="72">
      <c r="A72" s="315"/>
      <c r="B72" s="351"/>
      <c r="C72" s="351"/>
      <c r="D72" s="351"/>
      <c r="E72" s="351"/>
      <c r="F72" s="351"/>
      <c r="G72" s="360"/>
      <c r="H72" s="351"/>
      <c r="I72" s="352"/>
    </row>
    <row r="73">
      <c r="A73" s="315"/>
      <c r="B73" s="351"/>
      <c r="C73" s="351"/>
      <c r="D73" s="351"/>
      <c r="E73" s="351"/>
      <c r="F73" s="351"/>
      <c r="G73" s="360"/>
      <c r="H73" s="351"/>
      <c r="I73" s="352"/>
    </row>
    <row r="74">
      <c r="A74" s="315"/>
      <c r="B74" s="351"/>
      <c r="C74" s="351"/>
      <c r="D74" s="351"/>
      <c r="E74" s="351"/>
      <c r="F74" s="351"/>
      <c r="G74" s="360"/>
      <c r="H74" s="351"/>
      <c r="I74" s="352"/>
    </row>
    <row r="75">
      <c r="A75" s="315"/>
      <c r="B75" s="351"/>
      <c r="C75" s="351"/>
      <c r="D75" s="351"/>
      <c r="E75" s="351"/>
      <c r="F75" s="351"/>
      <c r="G75" s="360"/>
      <c r="H75" s="351"/>
      <c r="I75" s="352"/>
    </row>
    <row r="76">
      <c r="A76" s="315"/>
      <c r="B76" s="351"/>
      <c r="C76" s="351"/>
      <c r="D76" s="351"/>
      <c r="E76" s="351"/>
      <c r="F76" s="351"/>
      <c r="G76" s="360"/>
      <c r="H76" s="351"/>
      <c r="I76" s="352"/>
    </row>
    <row r="77">
      <c r="A77" s="315"/>
      <c r="B77" s="351"/>
      <c r="C77" s="351"/>
      <c r="D77" s="351"/>
      <c r="E77" s="351"/>
      <c r="F77" s="351"/>
      <c r="G77" s="360"/>
      <c r="H77" s="351"/>
      <c r="I77" s="352"/>
    </row>
    <row r="78">
      <c r="A78" s="315"/>
      <c r="B78" s="351"/>
      <c r="C78" s="351"/>
      <c r="D78" s="351"/>
      <c r="E78" s="351"/>
      <c r="F78" s="351"/>
      <c r="G78" s="360"/>
      <c r="H78" s="351"/>
      <c r="I78" s="352"/>
    </row>
    <row r="79">
      <c r="A79" s="315"/>
      <c r="B79" s="351"/>
      <c r="C79" s="351"/>
      <c r="D79" s="351"/>
      <c r="E79" s="351"/>
      <c r="F79" s="351"/>
      <c r="G79" s="360"/>
      <c r="H79" s="351"/>
      <c r="I79" s="352"/>
    </row>
    <row r="80">
      <c r="A80" s="315"/>
      <c r="B80" s="351"/>
      <c r="C80" s="351"/>
      <c r="D80" s="351"/>
      <c r="E80" s="351"/>
      <c r="F80" s="351"/>
      <c r="G80" s="360"/>
      <c r="H80" s="351"/>
      <c r="I80" s="352"/>
    </row>
    <row r="81">
      <c r="A81" s="315"/>
      <c r="B81" s="351"/>
      <c r="C81" s="351"/>
      <c r="D81" s="351"/>
      <c r="E81" s="351"/>
      <c r="F81" s="351"/>
      <c r="G81" s="360"/>
      <c r="H81" s="351"/>
      <c r="I81" s="352"/>
    </row>
    <row r="82">
      <c r="A82" s="315"/>
      <c r="B82" s="351"/>
      <c r="C82" s="351"/>
      <c r="D82" s="351"/>
      <c r="E82" s="351"/>
      <c r="F82" s="351"/>
      <c r="G82" s="360"/>
      <c r="H82" s="351"/>
      <c r="I82" s="352"/>
    </row>
    <row r="83">
      <c r="A83" s="315"/>
      <c r="B83" s="351"/>
      <c r="C83" s="351"/>
      <c r="D83" s="351"/>
      <c r="E83" s="351"/>
      <c r="F83" s="351"/>
      <c r="G83" s="360"/>
      <c r="H83" s="351"/>
      <c r="I83" s="352"/>
    </row>
    <row r="84">
      <c r="A84" s="315"/>
      <c r="B84" s="351"/>
      <c r="C84" s="351"/>
      <c r="D84" s="351"/>
      <c r="E84" s="351"/>
      <c r="F84" s="351"/>
      <c r="G84" s="360"/>
      <c r="H84" s="351"/>
      <c r="I84" s="352"/>
    </row>
    <row r="85">
      <c r="A85" s="315"/>
      <c r="B85" s="351"/>
      <c r="C85" s="351"/>
      <c r="D85" s="351"/>
      <c r="E85" s="351"/>
      <c r="F85" s="351"/>
      <c r="G85" s="360"/>
      <c r="H85" s="351"/>
      <c r="I85" s="352"/>
    </row>
    <row r="86">
      <c r="A86" s="315"/>
      <c r="B86" s="351"/>
      <c r="C86" s="351"/>
      <c r="D86" s="351"/>
      <c r="E86" s="351"/>
      <c r="F86" s="351"/>
      <c r="G86" s="360"/>
      <c r="H86" s="351"/>
      <c r="I86" s="352"/>
    </row>
    <row r="87">
      <c r="A87" s="315"/>
      <c r="B87" s="351"/>
      <c r="C87" s="351"/>
      <c r="D87" s="351"/>
      <c r="E87" s="351"/>
      <c r="F87" s="351"/>
      <c r="G87" s="360"/>
      <c r="H87" s="351"/>
      <c r="I87" s="352"/>
    </row>
    <row r="88">
      <c r="A88" s="315"/>
      <c r="B88" s="351"/>
      <c r="C88" s="351"/>
      <c r="D88" s="351"/>
      <c r="E88" s="351"/>
      <c r="F88" s="351"/>
      <c r="G88" s="360"/>
      <c r="H88" s="351"/>
      <c r="I88" s="352"/>
    </row>
    <row r="89">
      <c r="A89" s="315"/>
      <c r="B89" s="351"/>
      <c r="C89" s="351"/>
      <c r="D89" s="351"/>
      <c r="E89" s="351"/>
      <c r="F89" s="351"/>
      <c r="G89" s="360"/>
      <c r="H89" s="351"/>
      <c r="I89" s="352"/>
    </row>
    <row r="90">
      <c r="A90" s="315"/>
      <c r="B90" s="351"/>
      <c r="C90" s="351"/>
      <c r="D90" s="351"/>
      <c r="E90" s="351"/>
      <c r="F90" s="351"/>
      <c r="G90" s="360"/>
      <c r="H90" s="351"/>
      <c r="I90" s="352"/>
    </row>
    <row r="91">
      <c r="A91" s="315"/>
      <c r="B91" s="351"/>
      <c r="C91" s="351"/>
      <c r="D91" s="351"/>
      <c r="E91" s="351"/>
      <c r="F91" s="351"/>
      <c r="G91" s="360"/>
      <c r="H91" s="351"/>
      <c r="I91" s="352"/>
    </row>
    <row r="92">
      <c r="A92" s="315"/>
      <c r="B92" s="351"/>
      <c r="C92" s="351"/>
      <c r="D92" s="351"/>
      <c r="E92" s="351"/>
      <c r="F92" s="351"/>
      <c r="G92" s="360"/>
      <c r="H92" s="351"/>
      <c r="I92" s="352"/>
    </row>
    <row r="93">
      <c r="A93" s="315"/>
      <c r="B93" s="351"/>
      <c r="C93" s="351"/>
      <c r="D93" s="351"/>
      <c r="E93" s="351"/>
      <c r="F93" s="351"/>
      <c r="G93" s="360"/>
      <c r="H93" s="351"/>
      <c r="I93" s="352"/>
    </row>
    <row r="94">
      <c r="A94" s="315"/>
      <c r="B94" s="351"/>
      <c r="C94" s="351"/>
      <c r="D94" s="351"/>
      <c r="E94" s="351"/>
      <c r="F94" s="351"/>
      <c r="G94" s="360"/>
      <c r="H94" s="351"/>
      <c r="I94" s="352"/>
    </row>
    <row r="95">
      <c r="A95" s="315"/>
      <c r="B95" s="351"/>
      <c r="C95" s="351"/>
      <c r="D95" s="351"/>
      <c r="E95" s="351"/>
      <c r="F95" s="351"/>
      <c r="G95" s="360"/>
      <c r="H95" s="351"/>
      <c r="I95" s="352"/>
    </row>
    <row r="96">
      <c r="A96" s="317"/>
      <c r="B96" s="354"/>
      <c r="C96" s="354"/>
      <c r="D96" s="354"/>
      <c r="E96" s="318"/>
      <c r="F96" s="318" t="s">
        <v>72</v>
      </c>
      <c r="G96" s="355">
        <f>SUM(G56:G95)</f>
        <v>480</v>
      </c>
      <c r="H96" s="354"/>
      <c r="I96" s="357"/>
    </row>
  </sheetData>
  <mergeCells count="3">
    <mergeCell ref="A2:I2"/>
    <mergeCell ref="A32:I32"/>
    <mergeCell ref="A54:I5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3.33"/>
    <col customWidth="1" min="2" max="2" width="36.33"/>
    <col customWidth="1" min="3" max="3" width="71.67"/>
    <col customWidth="1" min="4" max="4" width="8.67"/>
  </cols>
  <sheetData>
    <row r="1">
      <c r="A1" s="284" t="s">
        <v>602</v>
      </c>
      <c r="B1" s="286" t="s">
        <v>603</v>
      </c>
      <c r="C1" s="286" t="s">
        <v>605</v>
      </c>
      <c r="D1" s="289" t="s">
        <v>607</v>
      </c>
      <c r="E1" s="291"/>
      <c r="F1" s="291"/>
    </row>
    <row r="2">
      <c r="A2" s="292">
        <v>45950.0</v>
      </c>
      <c r="B2" s="294" t="s">
        <v>611</v>
      </c>
      <c r="C2" s="295" t="s">
        <v>613</v>
      </c>
      <c r="D2" s="297" t="s">
        <v>393</v>
      </c>
      <c r="E2" s="298"/>
      <c r="F2" s="298"/>
    </row>
    <row r="3">
      <c r="A3" s="292">
        <v>45985.0</v>
      </c>
      <c r="B3" s="294" t="s">
        <v>616</v>
      </c>
      <c r="C3" s="295" t="s">
        <v>617</v>
      </c>
      <c r="D3" s="297" t="s">
        <v>393</v>
      </c>
      <c r="E3" s="298"/>
      <c r="F3" s="298"/>
    </row>
    <row r="4">
      <c r="A4" s="292">
        <v>45985.0</v>
      </c>
      <c r="B4" s="294" t="s">
        <v>620</v>
      </c>
      <c r="C4" s="295" t="s">
        <v>621</v>
      </c>
      <c r="D4" s="297" t="s">
        <v>393</v>
      </c>
      <c r="E4" s="298"/>
      <c r="F4" s="298"/>
    </row>
    <row r="5">
      <c r="A5" s="292">
        <v>45985.0</v>
      </c>
      <c r="B5" s="294" t="s">
        <v>622</v>
      </c>
      <c r="C5" s="295" t="s">
        <v>623</v>
      </c>
      <c r="D5" s="297" t="s">
        <v>393</v>
      </c>
      <c r="E5" s="302"/>
      <c r="F5" s="298"/>
    </row>
    <row r="6">
      <c r="A6" s="303">
        <v>45992.0</v>
      </c>
      <c r="B6" s="76" t="s">
        <v>625</v>
      </c>
      <c r="C6" s="304" t="s">
        <v>626</v>
      </c>
      <c r="D6" s="297" t="s">
        <v>393</v>
      </c>
      <c r="E6" s="298"/>
      <c r="F6" s="298"/>
    </row>
    <row r="7">
      <c r="A7" s="305"/>
      <c r="B7" s="110"/>
      <c r="C7" s="306"/>
      <c r="D7" s="302"/>
      <c r="E7" s="302"/>
      <c r="F7" s="298"/>
    </row>
    <row r="8">
      <c r="A8" s="307">
        <v>46023.0</v>
      </c>
      <c r="B8" s="308" t="s">
        <v>629</v>
      </c>
      <c r="C8" s="310" t="s">
        <v>630</v>
      </c>
      <c r="D8" s="297"/>
      <c r="E8" s="302"/>
      <c r="F8" s="298"/>
    </row>
    <row r="9">
      <c r="A9" s="307">
        <v>46023.0</v>
      </c>
      <c r="B9" s="308" t="s">
        <v>631</v>
      </c>
      <c r="C9" s="310" t="s">
        <v>632</v>
      </c>
      <c r="D9" s="297" t="s">
        <v>393</v>
      </c>
      <c r="E9" s="302"/>
      <c r="F9" s="298"/>
    </row>
    <row r="10">
      <c r="A10" s="307">
        <v>46023.0</v>
      </c>
      <c r="B10" s="308" t="s">
        <v>635</v>
      </c>
      <c r="C10" s="310" t="s">
        <v>637</v>
      </c>
      <c r="D10" s="297"/>
      <c r="E10" s="302"/>
      <c r="F10" s="298"/>
    </row>
    <row r="11">
      <c r="A11" s="307">
        <v>46023.0</v>
      </c>
      <c r="B11" s="308" t="s">
        <v>639</v>
      </c>
      <c r="C11" s="310" t="s">
        <v>641</v>
      </c>
      <c r="D11" s="297" t="s">
        <v>393</v>
      </c>
      <c r="E11" s="302"/>
      <c r="F11" s="298"/>
    </row>
    <row r="12">
      <c r="A12" s="307">
        <v>46023.0</v>
      </c>
      <c r="B12" s="308" t="s">
        <v>646</v>
      </c>
      <c r="C12" s="310" t="s">
        <v>647</v>
      </c>
      <c r="D12" s="297" t="s">
        <v>393</v>
      </c>
      <c r="E12" s="298"/>
      <c r="F12" s="298"/>
    </row>
    <row r="13">
      <c r="A13" s="305"/>
      <c r="B13" s="110"/>
      <c r="C13" s="306"/>
      <c r="D13" s="298"/>
      <c r="E13" s="298"/>
      <c r="F13" s="298"/>
    </row>
    <row r="14">
      <c r="A14" s="311">
        <v>46054.0</v>
      </c>
      <c r="B14" s="312" t="s">
        <v>650</v>
      </c>
      <c r="C14" s="313" t="s">
        <v>653</v>
      </c>
      <c r="D14" s="297" t="s">
        <v>393</v>
      </c>
      <c r="E14" s="298"/>
      <c r="F14" s="298"/>
    </row>
    <row r="15">
      <c r="A15" s="311">
        <v>46054.0</v>
      </c>
      <c r="B15" s="312" t="s">
        <v>654</v>
      </c>
      <c r="C15" s="313" t="s">
        <v>655</v>
      </c>
      <c r="D15" s="297" t="s">
        <v>393</v>
      </c>
      <c r="E15" s="298"/>
      <c r="F15" s="298"/>
    </row>
    <row r="16">
      <c r="A16" s="311">
        <v>46054.0</v>
      </c>
      <c r="B16" s="312" t="s">
        <v>657</v>
      </c>
      <c r="C16" s="313" t="s">
        <v>658</v>
      </c>
      <c r="D16" s="297"/>
      <c r="E16" s="298"/>
      <c r="F16" s="298"/>
    </row>
    <row r="17">
      <c r="A17" s="305"/>
      <c r="B17" s="110"/>
      <c r="C17" s="306"/>
      <c r="D17" s="298"/>
      <c r="E17" s="298"/>
      <c r="F17" s="298"/>
    </row>
    <row r="18">
      <c r="A18" s="292">
        <v>46083.0</v>
      </c>
      <c r="B18" s="294" t="s">
        <v>663</v>
      </c>
      <c r="C18" s="295" t="s">
        <v>647</v>
      </c>
      <c r="D18" s="297" t="s">
        <v>393</v>
      </c>
      <c r="E18" s="298"/>
      <c r="F18" s="298"/>
    </row>
    <row r="19">
      <c r="A19" s="292">
        <v>46082.0</v>
      </c>
      <c r="B19" s="294" t="s">
        <v>665</v>
      </c>
      <c r="C19" s="295" t="s">
        <v>667</v>
      </c>
      <c r="D19" s="297"/>
      <c r="E19" s="298"/>
      <c r="F19" s="298"/>
    </row>
    <row r="20">
      <c r="A20" s="292">
        <v>46082.0</v>
      </c>
      <c r="B20" s="294" t="s">
        <v>670</v>
      </c>
      <c r="C20" s="295" t="s">
        <v>671</v>
      </c>
      <c r="D20" s="297" t="s">
        <v>393</v>
      </c>
      <c r="E20" s="298"/>
      <c r="F20" s="298"/>
    </row>
    <row r="21">
      <c r="A21" s="292">
        <v>46082.0</v>
      </c>
      <c r="B21" s="294" t="s">
        <v>673</v>
      </c>
      <c r="C21" s="295" t="s">
        <v>674</v>
      </c>
      <c r="D21" s="297"/>
      <c r="E21" s="298"/>
      <c r="F21" s="298"/>
    </row>
    <row r="22">
      <c r="A22" s="292">
        <v>46082.0</v>
      </c>
      <c r="B22" s="294" t="s">
        <v>675</v>
      </c>
      <c r="C22" s="295" t="s">
        <v>676</v>
      </c>
      <c r="D22" s="297" t="s">
        <v>393</v>
      </c>
      <c r="E22" s="302"/>
      <c r="F22" s="302"/>
    </row>
    <row r="23">
      <c r="A23" s="292">
        <v>46082.0</v>
      </c>
      <c r="B23" s="294" t="s">
        <v>678</v>
      </c>
      <c r="C23" s="295" t="s">
        <v>679</v>
      </c>
      <c r="D23" s="297" t="s">
        <v>393</v>
      </c>
      <c r="E23" s="302"/>
      <c r="F23" s="302"/>
    </row>
    <row r="24">
      <c r="A24" s="305"/>
      <c r="B24" s="110"/>
      <c r="C24" s="302"/>
      <c r="D24" s="302"/>
      <c r="E24" s="302"/>
      <c r="F24" s="302"/>
    </row>
    <row r="25">
      <c r="A25" s="303">
        <v>46113.0</v>
      </c>
      <c r="B25" s="76" t="s">
        <v>680</v>
      </c>
      <c r="C25" s="304" t="s">
        <v>681</v>
      </c>
      <c r="D25" s="297" t="s">
        <v>393</v>
      </c>
      <c r="E25" s="302"/>
      <c r="F25" s="302"/>
    </row>
    <row r="26">
      <c r="A26" s="303">
        <v>46113.0</v>
      </c>
      <c r="B26" s="76" t="s">
        <v>682</v>
      </c>
      <c r="C26" s="304" t="s">
        <v>683</v>
      </c>
      <c r="D26" s="297" t="s">
        <v>393</v>
      </c>
      <c r="E26" s="298"/>
      <c r="F26" s="298"/>
    </row>
    <row r="27">
      <c r="A27" s="303">
        <v>46113.0</v>
      </c>
      <c r="B27" s="76" t="s">
        <v>684</v>
      </c>
      <c r="C27" s="304" t="s">
        <v>685</v>
      </c>
      <c r="D27" s="297" t="s">
        <v>393</v>
      </c>
      <c r="E27" s="298"/>
      <c r="F27" s="298"/>
    </row>
    <row r="28">
      <c r="A28" s="303">
        <v>46113.0</v>
      </c>
      <c r="B28" s="76" t="s">
        <v>687</v>
      </c>
      <c r="C28" s="304" t="s">
        <v>688</v>
      </c>
      <c r="D28" s="297"/>
      <c r="E28" s="298"/>
      <c r="F28" s="298"/>
    </row>
    <row r="29">
      <c r="A29" s="303">
        <v>46113.0</v>
      </c>
      <c r="B29" s="76" t="s">
        <v>689</v>
      </c>
      <c r="C29" s="304" t="s">
        <v>690</v>
      </c>
      <c r="D29" s="297" t="s">
        <v>393</v>
      </c>
      <c r="E29" s="298"/>
      <c r="F29" s="298"/>
    </row>
    <row r="30">
      <c r="A30" s="305"/>
      <c r="B30" s="110"/>
      <c r="C30" s="298"/>
      <c r="D30" s="298"/>
      <c r="E30" s="298"/>
      <c r="F30" s="298"/>
    </row>
    <row r="31">
      <c r="A31" s="316">
        <v>46143.0</v>
      </c>
      <c r="B31" s="308" t="s">
        <v>692</v>
      </c>
      <c r="C31" s="310" t="s">
        <v>693</v>
      </c>
      <c r="D31" s="297" t="s">
        <v>393</v>
      </c>
      <c r="E31" s="298"/>
      <c r="F31" s="298"/>
    </row>
    <row r="32">
      <c r="A32" s="316">
        <v>46143.0</v>
      </c>
      <c r="B32" s="308" t="s">
        <v>694</v>
      </c>
      <c r="C32" s="310" t="s">
        <v>695</v>
      </c>
      <c r="D32" s="297" t="s">
        <v>393</v>
      </c>
      <c r="E32" s="298"/>
      <c r="F32" s="298"/>
    </row>
    <row r="33">
      <c r="A33" s="316">
        <v>46143.0</v>
      </c>
      <c r="B33" s="308" t="s">
        <v>696</v>
      </c>
      <c r="C33" s="310" t="s">
        <v>697</v>
      </c>
      <c r="D33" s="297" t="s">
        <v>393</v>
      </c>
      <c r="E33" s="298"/>
      <c r="F33" s="298"/>
    </row>
    <row r="34">
      <c r="A34" s="316">
        <v>46143.0</v>
      </c>
      <c r="B34" s="308" t="s">
        <v>698</v>
      </c>
      <c r="C34" s="310" t="s">
        <v>699</v>
      </c>
      <c r="D34" s="297" t="s">
        <v>393</v>
      </c>
      <c r="E34" s="298"/>
      <c r="F34" s="298"/>
    </row>
    <row r="35">
      <c r="A35" s="305"/>
      <c r="B35" s="110"/>
      <c r="C35" s="306"/>
      <c r="D35" s="298"/>
      <c r="E35" s="298"/>
      <c r="F35" s="298"/>
    </row>
    <row r="36">
      <c r="A36" s="311">
        <v>46174.0</v>
      </c>
      <c r="B36" s="312" t="s">
        <v>700</v>
      </c>
      <c r="C36" s="313" t="s">
        <v>701</v>
      </c>
      <c r="D36" s="297" t="s">
        <v>393</v>
      </c>
      <c r="E36" s="298"/>
      <c r="F36" s="298"/>
    </row>
    <row r="37">
      <c r="A37" s="311">
        <v>46174.0</v>
      </c>
      <c r="B37" s="312" t="s">
        <v>702</v>
      </c>
      <c r="C37" s="313" t="s">
        <v>703</v>
      </c>
      <c r="D37" s="297" t="s">
        <v>393</v>
      </c>
      <c r="E37" s="298"/>
      <c r="F37" s="298"/>
    </row>
    <row r="38">
      <c r="A38" s="311">
        <v>46174.0</v>
      </c>
      <c r="B38" s="312" t="s">
        <v>79</v>
      </c>
      <c r="C38" s="313" t="s">
        <v>705</v>
      </c>
      <c r="D38" s="297" t="s">
        <v>393</v>
      </c>
      <c r="E38" s="298"/>
      <c r="F38" s="298"/>
    </row>
    <row r="39">
      <c r="A39" s="311">
        <v>46174.0</v>
      </c>
      <c r="B39" s="312" t="s">
        <v>706</v>
      </c>
      <c r="C39" s="313" t="s">
        <v>707</v>
      </c>
      <c r="D39" s="297"/>
      <c r="E39" s="298"/>
      <c r="F39" s="298"/>
    </row>
    <row r="40">
      <c r="A40" s="305"/>
      <c r="B40" s="110"/>
      <c r="C40" s="306"/>
      <c r="D40" s="298"/>
      <c r="E40" s="298"/>
      <c r="F40" s="298"/>
    </row>
    <row r="41">
      <c r="A41" s="292">
        <v>46204.0</v>
      </c>
      <c r="B41" s="294" t="s">
        <v>709</v>
      </c>
      <c r="C41" s="295" t="s">
        <v>710</v>
      </c>
      <c r="D41" s="297" t="s">
        <v>393</v>
      </c>
      <c r="E41" s="298"/>
      <c r="F41" s="298"/>
    </row>
    <row r="42">
      <c r="A42" s="292">
        <v>46204.0</v>
      </c>
      <c r="B42" s="294" t="s">
        <v>711</v>
      </c>
      <c r="C42" s="295" t="s">
        <v>712</v>
      </c>
      <c r="D42" s="297" t="s">
        <v>393</v>
      </c>
      <c r="E42" s="298"/>
      <c r="F42" s="298"/>
    </row>
    <row r="43">
      <c r="A43" s="292">
        <v>46204.0</v>
      </c>
      <c r="B43" s="294" t="s">
        <v>713</v>
      </c>
      <c r="C43" s="295" t="s">
        <v>714</v>
      </c>
      <c r="D43" s="297"/>
      <c r="E43" s="298"/>
      <c r="F43" s="298"/>
    </row>
    <row r="44">
      <c r="A44" s="292">
        <v>46204.0</v>
      </c>
      <c r="B44" s="294" t="s">
        <v>715</v>
      </c>
      <c r="C44" s="295" t="s">
        <v>717</v>
      </c>
      <c r="D44" s="297"/>
      <c r="E44" s="298"/>
      <c r="F44" s="298"/>
    </row>
    <row r="45">
      <c r="A45" s="305"/>
      <c r="B45" s="110"/>
      <c r="C45" s="306"/>
      <c r="D45" s="298"/>
      <c r="E45" s="298"/>
      <c r="F45" s="298"/>
    </row>
    <row r="46">
      <c r="A46" s="322">
        <v>46235.0</v>
      </c>
      <c r="B46" s="323" t="s">
        <v>722</v>
      </c>
      <c r="C46" s="324" t="s">
        <v>725</v>
      </c>
      <c r="D46" s="297"/>
      <c r="E46" s="298"/>
      <c r="F46" s="298"/>
    </row>
    <row r="47">
      <c r="A47" s="322">
        <v>46235.0</v>
      </c>
      <c r="B47" s="323" t="s">
        <v>727</v>
      </c>
      <c r="C47" s="324" t="s">
        <v>728</v>
      </c>
      <c r="D47" s="297"/>
      <c r="E47" s="298"/>
      <c r="F47" s="298"/>
    </row>
    <row r="48">
      <c r="A48" s="322">
        <v>46235.0</v>
      </c>
      <c r="B48" s="323" t="s">
        <v>730</v>
      </c>
      <c r="C48" s="324" t="s">
        <v>732</v>
      </c>
      <c r="D48" s="297"/>
      <c r="E48" s="298"/>
      <c r="F48" s="298"/>
    </row>
    <row r="49">
      <c r="A49" s="322">
        <v>46235.0</v>
      </c>
      <c r="B49" s="323" t="s">
        <v>733</v>
      </c>
      <c r="C49" s="324" t="s">
        <v>734</v>
      </c>
      <c r="D49" s="297"/>
      <c r="E49" s="298"/>
      <c r="F49" s="298"/>
    </row>
    <row r="50">
      <c r="A50" s="305"/>
      <c r="B50" s="110"/>
      <c r="C50" s="306"/>
      <c r="D50" s="298"/>
      <c r="E50" s="298"/>
      <c r="F50" s="298"/>
    </row>
    <row r="51">
      <c r="A51" s="330" t="s">
        <v>738</v>
      </c>
      <c r="B51" s="308" t="s">
        <v>739</v>
      </c>
      <c r="C51" s="310" t="s">
        <v>740</v>
      </c>
      <c r="D51" s="297"/>
      <c r="E51" s="298"/>
      <c r="F51" s="298"/>
    </row>
    <row r="52">
      <c r="A52" s="330" t="s">
        <v>738</v>
      </c>
      <c r="B52" s="308" t="s">
        <v>741</v>
      </c>
      <c r="C52" s="310" t="s">
        <v>744</v>
      </c>
      <c r="D52" s="297"/>
      <c r="E52" s="298"/>
      <c r="F52" s="298"/>
    </row>
    <row r="53">
      <c r="A53" s="330" t="s">
        <v>738</v>
      </c>
      <c r="B53" s="308" t="s">
        <v>746</v>
      </c>
      <c r="C53" s="310" t="s">
        <v>748</v>
      </c>
      <c r="D53" s="297"/>
      <c r="E53" s="298"/>
      <c r="F53" s="298"/>
    </row>
    <row r="54">
      <c r="A54" s="330" t="s">
        <v>738</v>
      </c>
      <c r="B54" s="308" t="s">
        <v>750</v>
      </c>
      <c r="C54" s="310" t="s">
        <v>751</v>
      </c>
      <c r="D54" s="297"/>
      <c r="E54" s="298"/>
      <c r="F54" s="298"/>
    </row>
    <row r="55">
      <c r="A55" s="341" t="s">
        <v>754</v>
      </c>
      <c r="B55" s="312" t="s">
        <v>755</v>
      </c>
      <c r="C55" s="313" t="s">
        <v>757</v>
      </c>
      <c r="D55" s="297"/>
      <c r="E55" s="298"/>
      <c r="F55" s="298"/>
    </row>
    <row r="56">
      <c r="A56" s="341" t="s">
        <v>754</v>
      </c>
      <c r="B56" s="312" t="s">
        <v>758</v>
      </c>
      <c r="C56" s="313" t="s">
        <v>760</v>
      </c>
      <c r="D56" s="297"/>
      <c r="E56" s="298"/>
      <c r="F56" s="298"/>
    </row>
    <row r="57">
      <c r="A57" s="341" t="s">
        <v>754</v>
      </c>
      <c r="B57" s="312" t="s">
        <v>765</v>
      </c>
      <c r="C57" s="313" t="s">
        <v>766</v>
      </c>
      <c r="D57" s="297"/>
      <c r="E57" s="298"/>
      <c r="F57" s="298"/>
    </row>
    <row r="58">
      <c r="A58" s="347" t="s">
        <v>769</v>
      </c>
      <c r="B58" s="348" t="s">
        <v>774</v>
      </c>
      <c r="C58" s="349" t="s">
        <v>775</v>
      </c>
      <c r="D58" s="297"/>
      <c r="E58" s="298"/>
      <c r="F58" s="298"/>
    </row>
    <row r="59">
      <c r="C59" s="29"/>
      <c r="D59" s="350"/>
      <c r="E59" s="298"/>
      <c r="F59" s="298"/>
    </row>
    <row r="60">
      <c r="C60" s="29"/>
      <c r="D60" s="350"/>
      <c r="E60" s="298"/>
      <c r="F60" s="298"/>
    </row>
    <row r="61">
      <c r="C61" s="29"/>
      <c r="D61" s="350"/>
      <c r="E61" s="298"/>
      <c r="F61" s="298"/>
    </row>
    <row r="62">
      <c r="C62" s="29"/>
      <c r="D62" s="350"/>
      <c r="E62" s="298"/>
      <c r="F62" s="298"/>
    </row>
    <row r="63">
      <c r="C63" s="29"/>
      <c r="D63" s="350"/>
      <c r="E63" s="298"/>
      <c r="F63" s="298"/>
    </row>
    <row r="64">
      <c r="C64" s="29"/>
      <c r="D64" s="350"/>
      <c r="E64" s="298"/>
      <c r="F64" s="298"/>
    </row>
    <row r="65">
      <c r="C65" s="29"/>
      <c r="D65" s="350"/>
      <c r="E65" s="298"/>
      <c r="F65" s="298"/>
    </row>
    <row r="66">
      <c r="C66" s="29"/>
      <c r="D66" s="350"/>
      <c r="E66" s="298"/>
      <c r="F66" s="298"/>
    </row>
    <row r="67">
      <c r="C67" s="29"/>
      <c r="D67" s="350"/>
      <c r="E67" s="298"/>
      <c r="F67" s="298"/>
    </row>
    <row r="68">
      <c r="C68" s="29"/>
      <c r="D68" s="350"/>
      <c r="E68" s="298"/>
      <c r="F68" s="298"/>
    </row>
    <row r="69">
      <c r="C69" s="29"/>
      <c r="D69" s="350"/>
      <c r="E69" s="298"/>
      <c r="F69" s="298"/>
    </row>
    <row r="70">
      <c r="C70" s="29"/>
      <c r="D70" s="350"/>
      <c r="E70" s="298"/>
      <c r="F70" s="298"/>
    </row>
    <row r="71">
      <c r="C71" s="29"/>
      <c r="D71" s="350"/>
      <c r="E71" s="298"/>
      <c r="F71" s="298"/>
    </row>
    <row r="72">
      <c r="C72" s="29"/>
      <c r="D72" s="350"/>
      <c r="E72" s="298"/>
      <c r="F72" s="298"/>
    </row>
    <row r="73">
      <c r="C73" s="29"/>
      <c r="D73" s="350"/>
      <c r="E73" s="298"/>
      <c r="F73" s="298"/>
    </row>
    <row r="74">
      <c r="C74" s="29"/>
      <c r="D74" s="350"/>
      <c r="E74" s="298"/>
      <c r="F74" s="298"/>
    </row>
    <row r="75">
      <c r="C75" s="29"/>
      <c r="D75" s="350"/>
      <c r="E75" s="298"/>
      <c r="F75" s="298"/>
    </row>
    <row r="76">
      <c r="C76" s="29"/>
      <c r="D76" s="350"/>
      <c r="E76" s="298"/>
      <c r="F76" s="298"/>
    </row>
    <row r="77">
      <c r="C77" s="29"/>
      <c r="D77" s="350"/>
      <c r="E77" s="298"/>
      <c r="F77" s="298"/>
    </row>
    <row r="78">
      <c r="C78" s="29"/>
      <c r="D78" s="350"/>
      <c r="E78" s="298"/>
      <c r="F78" s="298"/>
    </row>
    <row r="79">
      <c r="C79" s="29"/>
      <c r="D79" s="350"/>
      <c r="E79" s="298"/>
      <c r="F79" s="298"/>
    </row>
    <row r="80">
      <c r="C80" s="29"/>
      <c r="D80" s="350"/>
      <c r="E80" s="298"/>
      <c r="F80" s="298"/>
    </row>
    <row r="81">
      <c r="C81" s="29"/>
      <c r="D81" s="350"/>
      <c r="E81" s="298"/>
      <c r="F81" s="298"/>
    </row>
    <row r="82">
      <c r="C82" s="29"/>
      <c r="D82" s="350"/>
      <c r="E82" s="298"/>
      <c r="F82" s="298"/>
    </row>
    <row r="83">
      <c r="C83" s="29"/>
      <c r="D83" s="350"/>
      <c r="E83" s="298"/>
      <c r="F83" s="298"/>
    </row>
    <row r="84">
      <c r="C84" s="29"/>
      <c r="D84" s="350"/>
      <c r="E84" s="298"/>
      <c r="F84" s="298"/>
    </row>
    <row r="85">
      <c r="C85" s="29"/>
      <c r="D85" s="350"/>
      <c r="E85" s="298"/>
      <c r="F85" s="298"/>
    </row>
    <row r="86">
      <c r="C86" s="29"/>
      <c r="D86" s="350"/>
      <c r="E86" s="298"/>
      <c r="F86" s="298"/>
    </row>
    <row r="87">
      <c r="C87" s="29"/>
      <c r="D87" s="350"/>
      <c r="E87" s="298"/>
      <c r="F87" s="298"/>
    </row>
    <row r="88">
      <c r="C88" s="29"/>
      <c r="D88" s="350"/>
      <c r="E88" s="298"/>
      <c r="F88" s="298"/>
    </row>
    <row r="89">
      <c r="C89" s="29"/>
      <c r="D89" s="350"/>
      <c r="E89" s="298"/>
      <c r="F89" s="298"/>
    </row>
    <row r="90">
      <c r="C90" s="29"/>
      <c r="D90" s="350"/>
      <c r="E90" s="298"/>
      <c r="F90" s="298"/>
    </row>
    <row r="91">
      <c r="C91" s="29"/>
      <c r="D91" s="350"/>
      <c r="E91" s="298"/>
      <c r="F91" s="298"/>
    </row>
    <row r="92">
      <c r="C92" s="29"/>
      <c r="D92" s="350"/>
      <c r="E92" s="298"/>
      <c r="F92" s="298"/>
    </row>
    <row r="93">
      <c r="C93" s="29"/>
      <c r="D93" s="350"/>
      <c r="E93" s="298"/>
      <c r="F93" s="298"/>
    </row>
    <row r="94">
      <c r="C94" s="29"/>
      <c r="D94" s="350"/>
      <c r="E94" s="298"/>
      <c r="F94" s="298"/>
    </row>
    <row r="95">
      <c r="C95" s="29"/>
      <c r="D95" s="350"/>
      <c r="E95" s="298"/>
      <c r="F95" s="298"/>
    </row>
    <row r="96">
      <c r="C96" s="29"/>
      <c r="D96" s="350"/>
      <c r="E96" s="298"/>
      <c r="F96" s="298"/>
    </row>
    <row r="97">
      <c r="C97" s="29"/>
      <c r="D97" s="350"/>
      <c r="E97" s="298"/>
      <c r="F97" s="298"/>
    </row>
    <row r="98">
      <c r="C98" s="29"/>
      <c r="D98" s="350"/>
      <c r="E98" s="298"/>
      <c r="F98" s="298"/>
    </row>
    <row r="99">
      <c r="C99" s="29"/>
      <c r="D99" s="350"/>
      <c r="E99" s="298"/>
      <c r="F99" s="298"/>
    </row>
    <row r="100">
      <c r="C100" s="29"/>
      <c r="D100" s="350"/>
      <c r="E100" s="298"/>
      <c r="F100" s="298"/>
    </row>
    <row r="101">
      <c r="C101" s="29"/>
      <c r="D101" s="350"/>
      <c r="E101" s="298"/>
      <c r="F101" s="298"/>
    </row>
    <row r="102">
      <c r="C102" s="29"/>
      <c r="D102" s="350"/>
      <c r="E102" s="298"/>
      <c r="F102" s="298"/>
    </row>
    <row r="103">
      <c r="C103" s="29"/>
      <c r="D103" s="350"/>
      <c r="E103" s="298"/>
      <c r="F103" s="298"/>
    </row>
    <row r="104">
      <c r="C104" s="29"/>
      <c r="D104" s="350"/>
      <c r="E104" s="298"/>
      <c r="F104" s="298"/>
    </row>
    <row r="105">
      <c r="C105" s="29"/>
      <c r="D105" s="350"/>
      <c r="E105" s="298"/>
      <c r="F105" s="298"/>
    </row>
    <row r="106">
      <c r="C106" s="29"/>
      <c r="D106" s="350"/>
      <c r="E106" s="298"/>
      <c r="F106" s="298"/>
    </row>
    <row r="107">
      <c r="C107" s="29"/>
      <c r="D107" s="350"/>
      <c r="E107" s="298"/>
      <c r="F107" s="298"/>
    </row>
    <row r="108">
      <c r="C108" s="29"/>
      <c r="D108" s="350"/>
      <c r="E108" s="298"/>
      <c r="F108" s="298"/>
    </row>
    <row r="109">
      <c r="C109" s="29"/>
      <c r="D109" s="350"/>
      <c r="E109" s="298"/>
      <c r="F109" s="298"/>
    </row>
    <row r="110">
      <c r="C110" s="29"/>
      <c r="D110" s="350"/>
      <c r="E110" s="298"/>
      <c r="F110" s="298"/>
    </row>
    <row r="111">
      <c r="C111" s="29"/>
      <c r="D111" s="350"/>
      <c r="E111" s="298"/>
      <c r="F111" s="298"/>
    </row>
    <row r="112">
      <c r="C112" s="29"/>
      <c r="D112" s="350"/>
      <c r="E112" s="298"/>
      <c r="F112" s="298"/>
    </row>
    <row r="113">
      <c r="C113" s="29"/>
      <c r="D113" s="350"/>
      <c r="E113" s="298"/>
      <c r="F113" s="298"/>
    </row>
    <row r="114">
      <c r="C114" s="29"/>
      <c r="D114" s="350"/>
      <c r="E114" s="298"/>
      <c r="F114" s="298"/>
    </row>
    <row r="115">
      <c r="C115" s="29"/>
      <c r="D115" s="350"/>
      <c r="E115" s="298"/>
      <c r="F115" s="298"/>
    </row>
    <row r="116">
      <c r="C116" s="29"/>
      <c r="D116" s="350"/>
      <c r="E116" s="298"/>
      <c r="F116" s="298"/>
    </row>
    <row r="117">
      <c r="C117" s="29"/>
      <c r="D117" s="350"/>
      <c r="E117" s="298"/>
      <c r="F117" s="298"/>
    </row>
    <row r="118">
      <c r="C118" s="29"/>
      <c r="D118" s="350"/>
      <c r="E118" s="298"/>
      <c r="F118" s="298"/>
    </row>
    <row r="119">
      <c r="C119" s="29"/>
      <c r="D119" s="350"/>
      <c r="E119" s="298"/>
      <c r="F119" s="298"/>
    </row>
    <row r="120">
      <c r="C120" s="29"/>
      <c r="D120" s="350"/>
      <c r="E120" s="298"/>
      <c r="F120" s="298"/>
    </row>
    <row r="121">
      <c r="C121" s="29"/>
      <c r="D121" s="350"/>
      <c r="E121" s="298"/>
      <c r="F121" s="298"/>
    </row>
    <row r="122">
      <c r="C122" s="29"/>
      <c r="D122" s="350"/>
      <c r="E122" s="298"/>
      <c r="F122" s="298"/>
    </row>
    <row r="123">
      <c r="C123" s="29"/>
      <c r="D123" s="350"/>
      <c r="E123" s="298"/>
      <c r="F123" s="298"/>
    </row>
    <row r="124">
      <c r="C124" s="29"/>
      <c r="D124" s="350"/>
      <c r="E124" s="298"/>
      <c r="F124" s="298"/>
    </row>
    <row r="125">
      <c r="C125" s="29"/>
      <c r="D125" s="350"/>
      <c r="E125" s="298"/>
      <c r="F125" s="298"/>
    </row>
    <row r="126">
      <c r="C126" s="29"/>
      <c r="D126" s="350"/>
      <c r="E126" s="298"/>
      <c r="F126" s="298"/>
    </row>
    <row r="127">
      <c r="C127" s="29"/>
      <c r="D127" s="350"/>
      <c r="E127" s="298"/>
      <c r="F127" s="298"/>
    </row>
    <row r="128">
      <c r="C128" s="29"/>
      <c r="D128" s="350"/>
      <c r="E128" s="298"/>
      <c r="F128" s="298"/>
    </row>
    <row r="129">
      <c r="C129" s="29"/>
      <c r="D129" s="350"/>
      <c r="E129" s="298"/>
      <c r="F129" s="298"/>
    </row>
    <row r="130">
      <c r="C130" s="29"/>
      <c r="D130" s="350"/>
      <c r="E130" s="298"/>
      <c r="F130" s="298"/>
    </row>
    <row r="131">
      <c r="C131" s="29"/>
      <c r="D131" s="350"/>
      <c r="E131" s="298"/>
      <c r="F131" s="298"/>
    </row>
    <row r="132">
      <c r="C132" s="29"/>
      <c r="D132" s="350"/>
      <c r="E132" s="298"/>
      <c r="F132" s="298"/>
    </row>
    <row r="133">
      <c r="C133" s="29"/>
      <c r="D133" s="350"/>
      <c r="E133" s="298"/>
      <c r="F133" s="298"/>
    </row>
    <row r="134">
      <c r="C134" s="29"/>
      <c r="D134" s="350"/>
      <c r="E134" s="298"/>
      <c r="F134" s="298"/>
    </row>
    <row r="135">
      <c r="C135" s="29"/>
      <c r="D135" s="350"/>
      <c r="E135" s="298"/>
      <c r="F135" s="298"/>
    </row>
    <row r="136">
      <c r="C136" s="29"/>
      <c r="D136" s="350"/>
      <c r="E136" s="298"/>
      <c r="F136" s="298"/>
    </row>
    <row r="137">
      <c r="C137" s="29"/>
      <c r="D137" s="350"/>
      <c r="E137" s="298"/>
      <c r="F137" s="298"/>
    </row>
    <row r="138">
      <c r="C138" s="29"/>
      <c r="D138" s="350"/>
      <c r="E138" s="298"/>
      <c r="F138" s="298"/>
    </row>
    <row r="139">
      <c r="C139" s="29"/>
      <c r="D139" s="350"/>
      <c r="E139" s="298"/>
      <c r="F139" s="298"/>
    </row>
    <row r="140">
      <c r="C140" s="29"/>
      <c r="D140" s="350"/>
      <c r="E140" s="298"/>
      <c r="F140" s="298"/>
    </row>
    <row r="141">
      <c r="C141" s="29"/>
      <c r="D141" s="350"/>
      <c r="E141" s="298"/>
      <c r="F141" s="298"/>
    </row>
    <row r="142">
      <c r="C142" s="29"/>
      <c r="D142" s="350"/>
      <c r="E142" s="298"/>
      <c r="F142" s="298"/>
    </row>
    <row r="143">
      <c r="C143" s="29"/>
      <c r="D143" s="350"/>
      <c r="E143" s="298"/>
      <c r="F143" s="298"/>
    </row>
    <row r="144">
      <c r="C144" s="29"/>
      <c r="D144" s="350"/>
      <c r="E144" s="298"/>
      <c r="F144" s="298"/>
    </row>
    <row r="145">
      <c r="C145" s="29"/>
      <c r="D145" s="350"/>
      <c r="E145" s="298"/>
      <c r="F145" s="298"/>
    </row>
    <row r="146">
      <c r="C146" s="29"/>
      <c r="D146" s="350"/>
      <c r="E146" s="298"/>
      <c r="F146" s="298"/>
    </row>
    <row r="147">
      <c r="C147" s="29"/>
      <c r="D147" s="350"/>
      <c r="E147" s="298"/>
      <c r="F147" s="298"/>
    </row>
    <row r="148">
      <c r="C148" s="29"/>
      <c r="D148" s="350"/>
      <c r="E148" s="298"/>
      <c r="F148" s="298"/>
    </row>
    <row r="149">
      <c r="C149" s="29"/>
      <c r="D149" s="350"/>
      <c r="E149" s="298"/>
      <c r="F149" s="298"/>
    </row>
    <row r="150">
      <c r="C150" s="29"/>
      <c r="D150" s="350"/>
      <c r="E150" s="298"/>
      <c r="F150" s="298"/>
    </row>
    <row r="151">
      <c r="C151" s="29"/>
      <c r="D151" s="350"/>
      <c r="E151" s="298"/>
      <c r="F151" s="298"/>
    </row>
    <row r="152">
      <c r="C152" s="29"/>
      <c r="D152" s="350"/>
      <c r="E152" s="298"/>
      <c r="F152" s="298"/>
    </row>
    <row r="153">
      <c r="C153" s="29"/>
      <c r="D153" s="350"/>
      <c r="E153" s="298"/>
      <c r="F153" s="298"/>
    </row>
    <row r="154">
      <c r="C154" s="29"/>
      <c r="D154" s="350"/>
      <c r="E154" s="298"/>
      <c r="F154" s="298"/>
    </row>
    <row r="155">
      <c r="C155" s="29"/>
      <c r="D155" s="350"/>
      <c r="E155" s="298"/>
      <c r="F155" s="298"/>
    </row>
    <row r="156">
      <c r="C156" s="29"/>
      <c r="D156" s="350"/>
      <c r="E156" s="298"/>
      <c r="F156" s="298"/>
    </row>
    <row r="157">
      <c r="C157" s="29"/>
      <c r="D157" s="350"/>
      <c r="E157" s="298"/>
      <c r="F157" s="298"/>
    </row>
    <row r="158">
      <c r="C158" s="29"/>
      <c r="D158" s="350"/>
      <c r="E158" s="298"/>
      <c r="F158" s="298"/>
    </row>
    <row r="159">
      <c r="C159" s="29"/>
      <c r="D159" s="350"/>
      <c r="E159" s="298"/>
      <c r="F159" s="298"/>
    </row>
    <row r="160">
      <c r="C160" s="29"/>
      <c r="D160" s="350"/>
      <c r="E160" s="298"/>
      <c r="F160" s="298"/>
    </row>
    <row r="161">
      <c r="C161" s="29"/>
      <c r="D161" s="350"/>
      <c r="E161" s="298"/>
      <c r="F161" s="298"/>
    </row>
    <row r="162">
      <c r="C162" s="29"/>
      <c r="D162" s="350"/>
      <c r="E162" s="298"/>
      <c r="F162" s="298"/>
    </row>
    <row r="163">
      <c r="C163" s="29"/>
      <c r="D163" s="350"/>
      <c r="E163" s="298"/>
      <c r="F163" s="298"/>
    </row>
    <row r="164">
      <c r="C164" s="29"/>
      <c r="D164" s="350"/>
      <c r="E164" s="298"/>
      <c r="F164" s="298"/>
    </row>
    <row r="165">
      <c r="C165" s="29"/>
      <c r="D165" s="350"/>
      <c r="E165" s="298"/>
      <c r="F165" s="298"/>
    </row>
    <row r="166">
      <c r="C166" s="29"/>
      <c r="D166" s="350"/>
      <c r="E166" s="298"/>
      <c r="F166" s="298"/>
    </row>
    <row r="167">
      <c r="C167" s="29"/>
      <c r="D167" s="350"/>
      <c r="E167" s="298"/>
      <c r="F167" s="298"/>
    </row>
    <row r="168">
      <c r="C168" s="29"/>
      <c r="D168" s="350"/>
      <c r="E168" s="298"/>
      <c r="F168" s="298"/>
    </row>
    <row r="169">
      <c r="C169" s="29"/>
      <c r="D169" s="350"/>
      <c r="E169" s="298"/>
      <c r="F169" s="298"/>
    </row>
    <row r="170">
      <c r="C170" s="29"/>
      <c r="D170" s="350"/>
      <c r="E170" s="298"/>
      <c r="F170" s="298"/>
    </row>
    <row r="171">
      <c r="C171" s="29"/>
      <c r="D171" s="350"/>
      <c r="E171" s="298"/>
      <c r="F171" s="298"/>
    </row>
    <row r="172">
      <c r="C172" s="29"/>
      <c r="D172" s="350"/>
      <c r="E172" s="298"/>
      <c r="F172" s="298"/>
    </row>
    <row r="173">
      <c r="C173" s="29"/>
      <c r="D173" s="350"/>
      <c r="E173" s="298"/>
      <c r="F173" s="298"/>
    </row>
    <row r="174">
      <c r="C174" s="29"/>
      <c r="D174" s="350"/>
      <c r="E174" s="298"/>
      <c r="F174" s="298"/>
    </row>
    <row r="175">
      <c r="C175" s="29"/>
      <c r="D175" s="350"/>
      <c r="E175" s="298"/>
      <c r="F175" s="298"/>
    </row>
    <row r="176">
      <c r="C176" s="29"/>
      <c r="D176" s="350"/>
      <c r="E176" s="298"/>
      <c r="F176" s="298"/>
    </row>
    <row r="177">
      <c r="C177" s="29"/>
      <c r="D177" s="350"/>
      <c r="E177" s="298"/>
      <c r="F177" s="298"/>
    </row>
    <row r="178">
      <c r="C178" s="29"/>
      <c r="D178" s="350"/>
      <c r="E178" s="298"/>
      <c r="F178" s="298"/>
    </row>
    <row r="179">
      <c r="C179" s="29"/>
      <c r="D179" s="350"/>
      <c r="E179" s="298"/>
      <c r="F179" s="298"/>
    </row>
    <row r="180">
      <c r="C180" s="29"/>
      <c r="D180" s="350"/>
      <c r="E180" s="298"/>
      <c r="F180" s="298"/>
    </row>
    <row r="181">
      <c r="C181" s="29"/>
      <c r="D181" s="350"/>
      <c r="E181" s="298"/>
      <c r="F181" s="298"/>
    </row>
    <row r="182">
      <c r="C182" s="29"/>
      <c r="D182" s="350"/>
      <c r="E182" s="298"/>
      <c r="F182" s="298"/>
    </row>
    <row r="183">
      <c r="C183" s="29"/>
      <c r="D183" s="350"/>
      <c r="E183" s="298"/>
      <c r="F183" s="298"/>
    </row>
    <row r="184">
      <c r="C184" s="29"/>
      <c r="D184" s="350"/>
      <c r="E184" s="298"/>
      <c r="F184" s="298"/>
    </row>
    <row r="185">
      <c r="C185" s="29"/>
      <c r="D185" s="350"/>
      <c r="E185" s="298"/>
      <c r="F185" s="298"/>
    </row>
    <row r="186">
      <c r="C186" s="29"/>
      <c r="D186" s="350"/>
      <c r="E186" s="298"/>
      <c r="F186" s="298"/>
    </row>
    <row r="187">
      <c r="C187" s="29"/>
      <c r="D187" s="350"/>
      <c r="E187" s="298"/>
      <c r="F187" s="298"/>
    </row>
    <row r="188">
      <c r="C188" s="29"/>
      <c r="D188" s="350"/>
      <c r="E188" s="298"/>
      <c r="F188" s="298"/>
    </row>
    <row r="189">
      <c r="C189" s="29"/>
      <c r="D189" s="350"/>
      <c r="E189" s="298"/>
      <c r="F189" s="298"/>
    </row>
    <row r="190">
      <c r="C190" s="29"/>
      <c r="D190" s="350"/>
      <c r="E190" s="298"/>
      <c r="F190" s="298"/>
    </row>
    <row r="191">
      <c r="C191" s="29"/>
      <c r="D191" s="350"/>
      <c r="E191" s="298"/>
      <c r="F191" s="298"/>
    </row>
    <row r="192">
      <c r="C192" s="29"/>
      <c r="D192" s="350"/>
      <c r="E192" s="298"/>
      <c r="F192" s="298"/>
    </row>
    <row r="193">
      <c r="C193" s="29"/>
      <c r="D193" s="350"/>
      <c r="E193" s="298"/>
      <c r="F193" s="298"/>
    </row>
    <row r="194">
      <c r="C194" s="29"/>
      <c r="D194" s="350"/>
      <c r="E194" s="298"/>
      <c r="F194" s="298"/>
    </row>
    <row r="195">
      <c r="C195" s="29"/>
      <c r="D195" s="350"/>
      <c r="E195" s="298"/>
      <c r="F195" s="298"/>
    </row>
    <row r="196">
      <c r="C196" s="29"/>
      <c r="D196" s="350"/>
      <c r="E196" s="298"/>
      <c r="F196" s="298"/>
    </row>
    <row r="197">
      <c r="C197" s="29"/>
      <c r="D197" s="350"/>
      <c r="E197" s="298"/>
      <c r="F197" s="298"/>
    </row>
    <row r="198">
      <c r="C198" s="29"/>
      <c r="D198" s="350"/>
      <c r="E198" s="298"/>
      <c r="F198" s="298"/>
    </row>
    <row r="199">
      <c r="C199" s="29"/>
      <c r="D199" s="350"/>
      <c r="E199" s="298"/>
      <c r="F199" s="298"/>
    </row>
    <row r="200">
      <c r="C200" s="29"/>
      <c r="D200" s="350"/>
      <c r="E200" s="298"/>
      <c r="F200" s="298"/>
    </row>
    <row r="201">
      <c r="C201" s="29"/>
      <c r="D201" s="350"/>
      <c r="E201" s="298"/>
      <c r="F201" s="298"/>
    </row>
    <row r="202">
      <c r="C202" s="29"/>
      <c r="D202" s="350"/>
      <c r="E202" s="298"/>
      <c r="F202" s="298"/>
    </row>
    <row r="203">
      <c r="C203" s="29"/>
      <c r="D203" s="350"/>
      <c r="E203" s="298"/>
      <c r="F203" s="298"/>
    </row>
    <row r="204">
      <c r="C204" s="29"/>
      <c r="D204" s="350"/>
      <c r="E204" s="298"/>
      <c r="F204" s="298"/>
    </row>
    <row r="205">
      <c r="C205" s="29"/>
      <c r="D205" s="350"/>
      <c r="E205" s="298"/>
      <c r="F205" s="298"/>
    </row>
    <row r="206">
      <c r="C206" s="29"/>
      <c r="D206" s="350"/>
      <c r="E206" s="298"/>
      <c r="F206" s="298"/>
    </row>
    <row r="207">
      <c r="C207" s="29"/>
      <c r="D207" s="350"/>
      <c r="E207" s="298"/>
      <c r="F207" s="298"/>
    </row>
    <row r="208">
      <c r="C208" s="29"/>
      <c r="D208" s="350"/>
      <c r="E208" s="298"/>
      <c r="F208" s="298"/>
    </row>
    <row r="209">
      <c r="C209" s="29"/>
      <c r="D209" s="350"/>
      <c r="E209" s="298"/>
      <c r="F209" s="298"/>
    </row>
    <row r="210">
      <c r="C210" s="29"/>
      <c r="D210" s="350"/>
      <c r="E210" s="298"/>
      <c r="F210" s="298"/>
    </row>
    <row r="211">
      <c r="C211" s="29"/>
      <c r="D211" s="350"/>
      <c r="E211" s="298"/>
      <c r="F211" s="298"/>
    </row>
    <row r="212">
      <c r="C212" s="29"/>
      <c r="D212" s="350"/>
      <c r="E212" s="298"/>
      <c r="F212" s="298"/>
    </row>
    <row r="213">
      <c r="C213" s="29"/>
      <c r="D213" s="350"/>
      <c r="E213" s="298"/>
      <c r="F213" s="298"/>
    </row>
    <row r="214">
      <c r="C214" s="29"/>
      <c r="D214" s="350"/>
      <c r="E214" s="298"/>
      <c r="F214" s="298"/>
    </row>
    <row r="215">
      <c r="C215" s="29"/>
      <c r="D215" s="350"/>
      <c r="E215" s="298"/>
      <c r="F215" s="298"/>
    </row>
    <row r="216">
      <c r="C216" s="29"/>
      <c r="D216" s="350"/>
      <c r="E216" s="298"/>
      <c r="F216" s="298"/>
    </row>
    <row r="217">
      <c r="C217" s="29"/>
      <c r="D217" s="350"/>
      <c r="E217" s="298"/>
      <c r="F217" s="298"/>
    </row>
    <row r="218">
      <c r="C218" s="29"/>
      <c r="D218" s="350"/>
      <c r="E218" s="298"/>
      <c r="F218" s="298"/>
    </row>
    <row r="219">
      <c r="C219" s="29"/>
      <c r="D219" s="350"/>
      <c r="E219" s="298"/>
      <c r="F219" s="298"/>
    </row>
    <row r="220">
      <c r="C220" s="29"/>
      <c r="D220" s="350"/>
      <c r="E220" s="298"/>
      <c r="F220" s="298"/>
    </row>
    <row r="221">
      <c r="C221" s="29"/>
      <c r="D221" s="350"/>
      <c r="E221" s="298"/>
      <c r="F221" s="298"/>
    </row>
    <row r="222">
      <c r="C222" s="29"/>
      <c r="D222" s="350"/>
      <c r="E222" s="298"/>
      <c r="F222" s="298"/>
    </row>
    <row r="223">
      <c r="C223" s="29"/>
      <c r="D223" s="350"/>
      <c r="E223" s="298"/>
      <c r="F223" s="298"/>
    </row>
    <row r="224">
      <c r="C224" s="29"/>
      <c r="D224" s="350"/>
      <c r="E224" s="298"/>
      <c r="F224" s="298"/>
    </row>
    <row r="225">
      <c r="C225" s="29"/>
      <c r="D225" s="350"/>
      <c r="E225" s="298"/>
      <c r="F225" s="298"/>
    </row>
    <row r="226">
      <c r="C226" s="29"/>
      <c r="D226" s="350"/>
      <c r="E226" s="298"/>
      <c r="F226" s="298"/>
    </row>
    <row r="227">
      <c r="C227" s="29"/>
      <c r="D227" s="350"/>
      <c r="E227" s="298"/>
      <c r="F227" s="298"/>
    </row>
    <row r="228">
      <c r="C228" s="29"/>
      <c r="D228" s="350"/>
      <c r="E228" s="298"/>
      <c r="F228" s="298"/>
    </row>
    <row r="229">
      <c r="C229" s="29"/>
      <c r="D229" s="350"/>
      <c r="E229" s="298"/>
      <c r="F229" s="298"/>
    </row>
    <row r="230">
      <c r="C230" s="29"/>
      <c r="D230" s="350"/>
      <c r="E230" s="298"/>
      <c r="F230" s="298"/>
    </row>
    <row r="231">
      <c r="C231" s="29"/>
      <c r="D231" s="350"/>
      <c r="E231" s="298"/>
      <c r="F231" s="298"/>
    </row>
    <row r="232">
      <c r="C232" s="29"/>
      <c r="D232" s="350"/>
      <c r="E232" s="298"/>
      <c r="F232" s="298"/>
    </row>
    <row r="233">
      <c r="C233" s="29"/>
      <c r="D233" s="350"/>
      <c r="E233" s="298"/>
      <c r="F233" s="298"/>
    </row>
    <row r="234">
      <c r="C234" s="29"/>
      <c r="D234" s="350"/>
      <c r="E234" s="298"/>
      <c r="F234" s="298"/>
    </row>
    <row r="235">
      <c r="C235" s="29"/>
      <c r="D235" s="350"/>
      <c r="E235" s="298"/>
      <c r="F235" s="298"/>
    </row>
    <row r="236">
      <c r="C236" s="29"/>
      <c r="D236" s="350"/>
      <c r="E236" s="298"/>
      <c r="F236" s="298"/>
    </row>
    <row r="237">
      <c r="C237" s="29"/>
      <c r="D237" s="350"/>
      <c r="E237" s="298"/>
      <c r="F237" s="298"/>
    </row>
    <row r="238">
      <c r="C238" s="29"/>
      <c r="D238" s="350"/>
      <c r="E238" s="298"/>
      <c r="F238" s="298"/>
    </row>
    <row r="239">
      <c r="C239" s="29"/>
      <c r="D239" s="350"/>
      <c r="E239" s="298"/>
      <c r="F239" s="298"/>
    </row>
    <row r="240">
      <c r="C240" s="29"/>
      <c r="D240" s="350"/>
      <c r="E240" s="298"/>
      <c r="F240" s="298"/>
    </row>
    <row r="241">
      <c r="C241" s="29"/>
      <c r="D241" s="350"/>
      <c r="E241" s="298"/>
      <c r="F241" s="298"/>
    </row>
    <row r="242">
      <c r="C242" s="29"/>
      <c r="D242" s="350"/>
      <c r="E242" s="298"/>
      <c r="F242" s="298"/>
    </row>
    <row r="243">
      <c r="C243" s="29"/>
      <c r="D243" s="350"/>
      <c r="E243" s="298"/>
      <c r="F243" s="298"/>
    </row>
    <row r="244">
      <c r="C244" s="29"/>
      <c r="D244" s="350"/>
      <c r="E244" s="298"/>
      <c r="F244" s="298"/>
    </row>
    <row r="245">
      <c r="C245" s="29"/>
      <c r="D245" s="350"/>
      <c r="E245" s="298"/>
      <c r="F245" s="298"/>
    </row>
    <row r="246">
      <c r="C246" s="29"/>
      <c r="D246" s="350"/>
      <c r="E246" s="298"/>
      <c r="F246" s="298"/>
    </row>
    <row r="247">
      <c r="C247" s="29"/>
      <c r="D247" s="350"/>
      <c r="E247" s="298"/>
      <c r="F247" s="298"/>
    </row>
    <row r="248">
      <c r="C248" s="29"/>
      <c r="D248" s="350"/>
      <c r="E248" s="298"/>
      <c r="F248" s="298"/>
    </row>
    <row r="249">
      <c r="C249" s="29"/>
      <c r="D249" s="350"/>
      <c r="E249" s="298"/>
      <c r="F249" s="298"/>
    </row>
    <row r="250">
      <c r="C250" s="29"/>
      <c r="D250" s="350"/>
      <c r="E250" s="298"/>
      <c r="F250" s="298"/>
    </row>
    <row r="251">
      <c r="C251" s="29"/>
      <c r="D251" s="350"/>
      <c r="E251" s="298"/>
      <c r="F251" s="298"/>
    </row>
    <row r="252">
      <c r="C252" s="29"/>
      <c r="D252" s="350"/>
      <c r="E252" s="298"/>
      <c r="F252" s="298"/>
    </row>
    <row r="253">
      <c r="C253" s="29"/>
      <c r="D253" s="350"/>
      <c r="E253" s="298"/>
      <c r="F253" s="298"/>
    </row>
    <row r="254">
      <c r="C254" s="29"/>
      <c r="D254" s="350"/>
      <c r="E254" s="298"/>
      <c r="F254" s="298"/>
    </row>
    <row r="255">
      <c r="C255" s="29"/>
      <c r="D255" s="350"/>
      <c r="E255" s="298"/>
      <c r="F255" s="298"/>
    </row>
    <row r="256">
      <c r="C256" s="29"/>
      <c r="D256" s="350"/>
      <c r="E256" s="298"/>
      <c r="F256" s="298"/>
    </row>
    <row r="257">
      <c r="C257" s="29"/>
      <c r="D257" s="350"/>
      <c r="E257" s="298"/>
      <c r="F257" s="298"/>
    </row>
    <row r="258">
      <c r="C258" s="29"/>
      <c r="D258" s="350"/>
      <c r="E258" s="298"/>
      <c r="F258" s="298"/>
    </row>
    <row r="259">
      <c r="C259" s="29"/>
      <c r="D259" s="350"/>
      <c r="E259" s="298"/>
      <c r="F259" s="298"/>
    </row>
    <row r="260">
      <c r="C260" s="29"/>
      <c r="D260" s="350"/>
      <c r="E260" s="298"/>
      <c r="F260" s="298"/>
    </row>
    <row r="261">
      <c r="C261" s="29"/>
      <c r="D261" s="350"/>
      <c r="E261" s="298"/>
      <c r="F261" s="298"/>
    </row>
    <row r="262">
      <c r="C262" s="29"/>
      <c r="D262" s="350"/>
      <c r="E262" s="298"/>
      <c r="F262" s="298"/>
    </row>
    <row r="263">
      <c r="C263" s="29"/>
      <c r="D263" s="350"/>
      <c r="E263" s="298"/>
      <c r="F263" s="298"/>
    </row>
    <row r="264">
      <c r="C264" s="29"/>
      <c r="D264" s="350"/>
      <c r="E264" s="298"/>
      <c r="F264" s="298"/>
    </row>
    <row r="265">
      <c r="C265" s="29"/>
      <c r="D265" s="350"/>
      <c r="E265" s="298"/>
      <c r="F265" s="298"/>
    </row>
    <row r="266">
      <c r="C266" s="29"/>
      <c r="D266" s="350"/>
      <c r="E266" s="298"/>
      <c r="F266" s="298"/>
    </row>
    <row r="267">
      <c r="C267" s="29"/>
      <c r="D267" s="350"/>
      <c r="E267" s="298"/>
      <c r="F267" s="298"/>
    </row>
    <row r="268">
      <c r="C268" s="29"/>
      <c r="D268" s="350"/>
      <c r="E268" s="298"/>
      <c r="F268" s="298"/>
    </row>
    <row r="269">
      <c r="C269" s="29"/>
      <c r="D269" s="350"/>
      <c r="E269" s="298"/>
      <c r="F269" s="298"/>
    </row>
    <row r="270">
      <c r="C270" s="29"/>
      <c r="D270" s="350"/>
      <c r="E270" s="298"/>
      <c r="F270" s="298"/>
    </row>
    <row r="271">
      <c r="C271" s="29"/>
      <c r="D271" s="350"/>
      <c r="E271" s="298"/>
      <c r="F271" s="298"/>
    </row>
    <row r="272">
      <c r="C272" s="29"/>
      <c r="D272" s="350"/>
      <c r="E272" s="298"/>
      <c r="F272" s="298"/>
    </row>
    <row r="273">
      <c r="C273" s="29"/>
      <c r="D273" s="350"/>
      <c r="E273" s="298"/>
      <c r="F273" s="298"/>
    </row>
    <row r="274">
      <c r="C274" s="29"/>
      <c r="D274" s="350"/>
      <c r="E274" s="298"/>
      <c r="F274" s="298"/>
    </row>
    <row r="275">
      <c r="C275" s="29"/>
      <c r="D275" s="350"/>
      <c r="E275" s="298"/>
      <c r="F275" s="298"/>
    </row>
    <row r="276">
      <c r="C276" s="29"/>
      <c r="D276" s="350"/>
      <c r="E276" s="298"/>
      <c r="F276" s="298"/>
    </row>
    <row r="277">
      <c r="C277" s="29"/>
      <c r="D277" s="350"/>
      <c r="E277" s="298"/>
      <c r="F277" s="298"/>
    </row>
    <row r="278">
      <c r="C278" s="29"/>
      <c r="D278" s="350"/>
      <c r="E278" s="298"/>
      <c r="F278" s="298"/>
    </row>
    <row r="279">
      <c r="C279" s="29"/>
      <c r="D279" s="350"/>
      <c r="E279" s="298"/>
      <c r="F279" s="298"/>
    </row>
    <row r="280">
      <c r="C280" s="29"/>
      <c r="D280" s="350"/>
      <c r="E280" s="298"/>
      <c r="F280" s="298"/>
    </row>
    <row r="281">
      <c r="C281" s="29"/>
      <c r="D281" s="350"/>
      <c r="E281" s="298"/>
      <c r="F281" s="298"/>
    </row>
    <row r="282">
      <c r="C282" s="29"/>
      <c r="D282" s="350"/>
      <c r="E282" s="298"/>
      <c r="F282" s="298"/>
    </row>
    <row r="283">
      <c r="C283" s="29"/>
      <c r="D283" s="350"/>
      <c r="E283" s="298"/>
      <c r="F283" s="298"/>
    </row>
    <row r="284">
      <c r="C284" s="29"/>
      <c r="D284" s="350"/>
      <c r="E284" s="298"/>
      <c r="F284" s="298"/>
    </row>
    <row r="285">
      <c r="C285" s="29"/>
      <c r="D285" s="350"/>
      <c r="E285" s="298"/>
      <c r="F285" s="298"/>
    </row>
    <row r="286">
      <c r="C286" s="29"/>
      <c r="D286" s="350"/>
      <c r="E286" s="298"/>
      <c r="F286" s="298"/>
    </row>
    <row r="287">
      <c r="C287" s="29"/>
      <c r="D287" s="350"/>
      <c r="E287" s="298"/>
      <c r="F287" s="298"/>
    </row>
    <row r="288">
      <c r="C288" s="29"/>
      <c r="D288" s="350"/>
      <c r="E288" s="298"/>
      <c r="F288" s="298"/>
    </row>
    <row r="289">
      <c r="C289" s="29"/>
      <c r="D289" s="350"/>
      <c r="E289" s="298"/>
      <c r="F289" s="298"/>
    </row>
    <row r="290">
      <c r="C290" s="29"/>
      <c r="D290" s="350"/>
      <c r="E290" s="298"/>
      <c r="F290" s="298"/>
    </row>
    <row r="291">
      <c r="C291" s="29"/>
      <c r="D291" s="350"/>
      <c r="E291" s="298"/>
      <c r="F291" s="298"/>
    </row>
    <row r="292">
      <c r="C292" s="29"/>
      <c r="D292" s="350"/>
      <c r="E292" s="298"/>
      <c r="F292" s="298"/>
    </row>
    <row r="293">
      <c r="C293" s="29"/>
      <c r="D293" s="350"/>
      <c r="E293" s="298"/>
      <c r="F293" s="298"/>
    </row>
    <row r="294">
      <c r="C294" s="29"/>
      <c r="D294" s="350"/>
      <c r="E294" s="298"/>
      <c r="F294" s="298"/>
    </row>
    <row r="295">
      <c r="C295" s="29"/>
      <c r="D295" s="350"/>
      <c r="E295" s="298"/>
      <c r="F295" s="298"/>
    </row>
    <row r="296">
      <c r="C296" s="29"/>
      <c r="D296" s="350"/>
      <c r="E296" s="298"/>
      <c r="F296" s="298"/>
    </row>
    <row r="297">
      <c r="C297" s="29"/>
      <c r="D297" s="350"/>
      <c r="E297" s="298"/>
      <c r="F297" s="298"/>
    </row>
    <row r="298">
      <c r="C298" s="29"/>
      <c r="D298" s="350"/>
      <c r="E298" s="298"/>
      <c r="F298" s="298"/>
    </row>
    <row r="299">
      <c r="C299" s="29"/>
      <c r="D299" s="350"/>
      <c r="E299" s="298"/>
      <c r="F299" s="298"/>
    </row>
    <row r="300">
      <c r="C300" s="29"/>
      <c r="D300" s="350"/>
      <c r="E300" s="298"/>
      <c r="F300" s="298"/>
    </row>
    <row r="301">
      <c r="C301" s="29"/>
      <c r="D301" s="350"/>
      <c r="E301" s="298"/>
      <c r="F301" s="298"/>
    </row>
    <row r="302">
      <c r="C302" s="29"/>
      <c r="D302" s="350"/>
      <c r="E302" s="298"/>
      <c r="F302" s="298"/>
    </row>
    <row r="303">
      <c r="C303" s="29"/>
      <c r="D303" s="350"/>
      <c r="E303" s="298"/>
      <c r="F303" s="298"/>
    </row>
    <row r="304">
      <c r="C304" s="29"/>
      <c r="D304" s="350"/>
      <c r="E304" s="298"/>
      <c r="F304" s="298"/>
    </row>
    <row r="305">
      <c r="C305" s="29"/>
      <c r="D305" s="350"/>
      <c r="E305" s="298"/>
      <c r="F305" s="298"/>
    </row>
    <row r="306">
      <c r="C306" s="29"/>
      <c r="D306" s="350"/>
      <c r="E306" s="298"/>
      <c r="F306" s="298"/>
    </row>
    <row r="307">
      <c r="C307" s="29"/>
      <c r="D307" s="350"/>
      <c r="E307" s="298"/>
      <c r="F307" s="298"/>
    </row>
    <row r="308">
      <c r="C308" s="29"/>
      <c r="D308" s="350"/>
      <c r="E308" s="298"/>
      <c r="F308" s="298"/>
    </row>
    <row r="309">
      <c r="C309" s="29"/>
      <c r="D309" s="350"/>
      <c r="E309" s="298"/>
      <c r="F309" s="298"/>
    </row>
    <row r="310">
      <c r="C310" s="29"/>
      <c r="D310" s="350"/>
      <c r="E310" s="298"/>
      <c r="F310" s="298"/>
    </row>
    <row r="311">
      <c r="C311" s="29"/>
      <c r="D311" s="350"/>
      <c r="E311" s="298"/>
      <c r="F311" s="298"/>
    </row>
    <row r="312">
      <c r="C312" s="29"/>
      <c r="D312" s="350"/>
      <c r="E312" s="298"/>
      <c r="F312" s="298"/>
    </row>
    <row r="313">
      <c r="C313" s="29"/>
      <c r="D313" s="350"/>
      <c r="E313" s="298"/>
      <c r="F313" s="298"/>
    </row>
    <row r="314">
      <c r="C314" s="29"/>
      <c r="D314" s="350"/>
      <c r="E314" s="298"/>
      <c r="F314" s="298"/>
    </row>
    <row r="315">
      <c r="C315" s="29"/>
      <c r="D315" s="350"/>
      <c r="E315" s="298"/>
      <c r="F315" s="298"/>
    </row>
    <row r="316">
      <c r="C316" s="29"/>
      <c r="D316" s="350"/>
      <c r="E316" s="298"/>
      <c r="F316" s="298"/>
    </row>
    <row r="317">
      <c r="C317" s="29"/>
      <c r="D317" s="350"/>
      <c r="E317" s="298"/>
      <c r="F317" s="298"/>
    </row>
    <row r="318">
      <c r="C318" s="29"/>
      <c r="D318" s="350"/>
      <c r="E318" s="298"/>
      <c r="F318" s="298"/>
    </row>
    <row r="319">
      <c r="C319" s="29"/>
      <c r="D319" s="350"/>
      <c r="E319" s="298"/>
      <c r="F319" s="298"/>
    </row>
    <row r="320">
      <c r="C320" s="29"/>
      <c r="D320" s="350"/>
      <c r="E320" s="298"/>
      <c r="F320" s="298"/>
    </row>
    <row r="321">
      <c r="C321" s="29"/>
      <c r="D321" s="350"/>
      <c r="E321" s="298"/>
      <c r="F321" s="298"/>
    </row>
    <row r="322">
      <c r="C322" s="29"/>
      <c r="D322" s="350"/>
      <c r="E322" s="298"/>
      <c r="F322" s="298"/>
    </row>
    <row r="323">
      <c r="C323" s="29"/>
      <c r="D323" s="350"/>
      <c r="E323" s="298"/>
      <c r="F323" s="298"/>
    </row>
    <row r="324">
      <c r="C324" s="29"/>
      <c r="D324" s="350"/>
      <c r="E324" s="298"/>
      <c r="F324" s="298"/>
    </row>
    <row r="325">
      <c r="C325" s="29"/>
      <c r="D325" s="350"/>
      <c r="E325" s="298"/>
      <c r="F325" s="298"/>
    </row>
    <row r="326">
      <c r="C326" s="29"/>
      <c r="D326" s="350"/>
      <c r="E326" s="298"/>
      <c r="F326" s="298"/>
    </row>
    <row r="327">
      <c r="C327" s="29"/>
      <c r="D327" s="350"/>
      <c r="E327" s="298"/>
      <c r="F327" s="298"/>
    </row>
    <row r="328">
      <c r="C328" s="29"/>
      <c r="D328" s="350"/>
      <c r="E328" s="298"/>
      <c r="F328" s="298"/>
    </row>
    <row r="329">
      <c r="C329" s="29"/>
      <c r="D329" s="350"/>
      <c r="E329" s="298"/>
      <c r="F329" s="298"/>
    </row>
    <row r="330">
      <c r="C330" s="29"/>
      <c r="D330" s="350"/>
      <c r="E330" s="298"/>
      <c r="F330" s="298"/>
    </row>
    <row r="331">
      <c r="C331" s="29"/>
      <c r="D331" s="350"/>
      <c r="E331" s="298"/>
      <c r="F331" s="298"/>
    </row>
    <row r="332">
      <c r="C332" s="29"/>
      <c r="D332" s="350"/>
      <c r="E332" s="298"/>
      <c r="F332" s="298"/>
    </row>
    <row r="333">
      <c r="C333" s="29"/>
      <c r="D333" s="350"/>
      <c r="E333" s="298"/>
      <c r="F333" s="298"/>
    </row>
    <row r="334">
      <c r="C334" s="29"/>
      <c r="D334" s="350"/>
      <c r="E334" s="298"/>
      <c r="F334" s="298"/>
    </row>
    <row r="335">
      <c r="C335" s="29"/>
      <c r="D335" s="350"/>
      <c r="E335" s="298"/>
      <c r="F335" s="298"/>
    </row>
    <row r="336">
      <c r="C336" s="29"/>
      <c r="D336" s="350"/>
      <c r="E336" s="298"/>
      <c r="F336" s="298"/>
    </row>
    <row r="337">
      <c r="C337" s="29"/>
      <c r="D337" s="350"/>
      <c r="E337" s="298"/>
      <c r="F337" s="298"/>
    </row>
    <row r="338">
      <c r="C338" s="29"/>
      <c r="D338" s="350"/>
      <c r="E338" s="298"/>
      <c r="F338" s="298"/>
    </row>
    <row r="339">
      <c r="C339" s="29"/>
      <c r="D339" s="350"/>
      <c r="E339" s="298"/>
      <c r="F339" s="298"/>
    </row>
    <row r="340">
      <c r="C340" s="29"/>
      <c r="D340" s="350"/>
      <c r="E340" s="298"/>
      <c r="F340" s="298"/>
    </row>
    <row r="341">
      <c r="C341" s="29"/>
      <c r="D341" s="350"/>
      <c r="E341" s="298"/>
      <c r="F341" s="298"/>
    </row>
    <row r="342">
      <c r="C342" s="29"/>
      <c r="D342" s="350"/>
      <c r="E342" s="298"/>
      <c r="F342" s="298"/>
    </row>
    <row r="343">
      <c r="C343" s="29"/>
      <c r="D343" s="350"/>
      <c r="E343" s="298"/>
      <c r="F343" s="298"/>
    </row>
    <row r="344">
      <c r="C344" s="29"/>
      <c r="D344" s="350"/>
      <c r="E344" s="298"/>
      <c r="F344" s="298"/>
    </row>
    <row r="345">
      <c r="C345" s="29"/>
      <c r="D345" s="350"/>
      <c r="E345" s="298"/>
      <c r="F345" s="298"/>
    </row>
    <row r="346">
      <c r="C346" s="29"/>
      <c r="D346" s="350"/>
      <c r="E346" s="298"/>
      <c r="F346" s="298"/>
    </row>
    <row r="347">
      <c r="C347" s="29"/>
      <c r="D347" s="350"/>
      <c r="E347" s="298"/>
      <c r="F347" s="298"/>
    </row>
    <row r="348">
      <c r="C348" s="29"/>
      <c r="D348" s="350"/>
      <c r="E348" s="298"/>
      <c r="F348" s="298"/>
    </row>
    <row r="349">
      <c r="C349" s="29"/>
      <c r="D349" s="350"/>
      <c r="E349" s="298"/>
      <c r="F349" s="298"/>
    </row>
    <row r="350">
      <c r="C350" s="29"/>
      <c r="D350" s="350"/>
      <c r="E350" s="298"/>
      <c r="F350" s="298"/>
    </row>
    <row r="351">
      <c r="C351" s="29"/>
      <c r="D351" s="350"/>
      <c r="E351" s="298"/>
      <c r="F351" s="298"/>
    </row>
    <row r="352">
      <c r="C352" s="29"/>
      <c r="D352" s="350"/>
      <c r="E352" s="298"/>
      <c r="F352" s="298"/>
    </row>
    <row r="353">
      <c r="C353" s="29"/>
      <c r="D353" s="350"/>
      <c r="E353" s="298"/>
      <c r="F353" s="298"/>
    </row>
    <row r="354">
      <c r="C354" s="29"/>
      <c r="D354" s="350"/>
      <c r="E354" s="298"/>
      <c r="F354" s="298"/>
    </row>
    <row r="355">
      <c r="C355" s="29"/>
      <c r="D355" s="350"/>
      <c r="E355" s="298"/>
      <c r="F355" s="298"/>
    </row>
    <row r="356">
      <c r="C356" s="29"/>
      <c r="D356" s="350"/>
      <c r="E356" s="298"/>
      <c r="F356" s="298"/>
    </row>
    <row r="357">
      <c r="C357" s="29"/>
      <c r="D357" s="350"/>
      <c r="E357" s="298"/>
      <c r="F357" s="298"/>
    </row>
    <row r="358">
      <c r="C358" s="29"/>
      <c r="D358" s="350"/>
      <c r="E358" s="298"/>
      <c r="F358" s="298"/>
    </row>
    <row r="359">
      <c r="C359" s="29"/>
      <c r="D359" s="350"/>
      <c r="E359" s="298"/>
      <c r="F359" s="298"/>
    </row>
    <row r="360">
      <c r="C360" s="29"/>
      <c r="D360" s="350"/>
      <c r="E360" s="298"/>
      <c r="F360" s="298"/>
    </row>
    <row r="361">
      <c r="C361" s="29"/>
      <c r="D361" s="350"/>
      <c r="E361" s="298"/>
      <c r="F361" s="298"/>
    </row>
    <row r="362">
      <c r="C362" s="29"/>
      <c r="D362" s="350"/>
      <c r="E362" s="298"/>
      <c r="F362" s="298"/>
    </row>
    <row r="363">
      <c r="C363" s="29"/>
      <c r="D363" s="350"/>
      <c r="E363" s="298"/>
      <c r="F363" s="298"/>
    </row>
    <row r="364">
      <c r="C364" s="29"/>
      <c r="D364" s="350"/>
      <c r="E364" s="298"/>
      <c r="F364" s="298"/>
    </row>
    <row r="365">
      <c r="C365" s="29"/>
      <c r="D365" s="350"/>
      <c r="E365" s="298"/>
      <c r="F365" s="298"/>
    </row>
    <row r="366">
      <c r="C366" s="29"/>
      <c r="D366" s="350"/>
      <c r="E366" s="298"/>
      <c r="F366" s="298"/>
    </row>
    <row r="367">
      <c r="C367" s="29"/>
      <c r="D367" s="350"/>
      <c r="E367" s="298"/>
      <c r="F367" s="298"/>
    </row>
    <row r="368">
      <c r="C368" s="29"/>
      <c r="D368" s="350"/>
      <c r="E368" s="298"/>
      <c r="F368" s="298"/>
    </row>
    <row r="369">
      <c r="C369" s="29"/>
      <c r="D369" s="350"/>
      <c r="E369" s="298"/>
      <c r="F369" s="298"/>
    </row>
    <row r="370">
      <c r="C370" s="29"/>
      <c r="D370" s="350"/>
      <c r="E370" s="298"/>
      <c r="F370" s="298"/>
    </row>
    <row r="371">
      <c r="C371" s="29"/>
      <c r="D371" s="350"/>
      <c r="E371" s="298"/>
      <c r="F371" s="298"/>
    </row>
    <row r="372">
      <c r="C372" s="29"/>
      <c r="D372" s="350"/>
      <c r="E372" s="298"/>
      <c r="F372" s="298"/>
    </row>
    <row r="373">
      <c r="C373" s="29"/>
      <c r="D373" s="350"/>
      <c r="E373" s="298"/>
      <c r="F373" s="298"/>
    </row>
    <row r="374">
      <c r="C374" s="29"/>
      <c r="D374" s="350"/>
      <c r="E374" s="298"/>
      <c r="F374" s="298"/>
    </row>
    <row r="375">
      <c r="C375" s="29"/>
      <c r="D375" s="350"/>
      <c r="E375" s="298"/>
      <c r="F375" s="298"/>
    </row>
    <row r="376">
      <c r="C376" s="29"/>
      <c r="D376" s="350"/>
      <c r="E376" s="298"/>
      <c r="F376" s="298"/>
    </row>
    <row r="377">
      <c r="C377" s="29"/>
      <c r="D377" s="350"/>
      <c r="E377" s="298"/>
      <c r="F377" s="298"/>
    </row>
    <row r="378">
      <c r="C378" s="29"/>
      <c r="D378" s="350"/>
      <c r="E378" s="298"/>
      <c r="F378" s="298"/>
    </row>
    <row r="379">
      <c r="C379" s="29"/>
      <c r="D379" s="350"/>
      <c r="E379" s="298"/>
      <c r="F379" s="298"/>
    </row>
    <row r="380">
      <c r="C380" s="29"/>
      <c r="D380" s="350"/>
      <c r="E380" s="298"/>
      <c r="F380" s="298"/>
    </row>
    <row r="381">
      <c r="C381" s="29"/>
      <c r="D381" s="350"/>
      <c r="E381" s="298"/>
      <c r="F381" s="298"/>
    </row>
    <row r="382">
      <c r="C382" s="29"/>
      <c r="D382" s="350"/>
      <c r="E382" s="298"/>
      <c r="F382" s="298"/>
    </row>
    <row r="383">
      <c r="C383" s="29"/>
      <c r="D383" s="350"/>
      <c r="E383" s="298"/>
      <c r="F383" s="298"/>
    </row>
    <row r="384">
      <c r="C384" s="29"/>
      <c r="D384" s="350"/>
      <c r="E384" s="298"/>
      <c r="F384" s="298"/>
    </row>
    <row r="385">
      <c r="C385" s="29"/>
      <c r="D385" s="350"/>
      <c r="E385" s="298"/>
      <c r="F385" s="298"/>
    </row>
    <row r="386">
      <c r="C386" s="29"/>
      <c r="D386" s="350"/>
      <c r="E386" s="298"/>
      <c r="F386" s="298"/>
    </row>
    <row r="387">
      <c r="C387" s="29"/>
      <c r="D387" s="350"/>
      <c r="E387" s="298"/>
      <c r="F387" s="298"/>
    </row>
    <row r="388">
      <c r="C388" s="29"/>
      <c r="D388" s="350"/>
      <c r="E388" s="298"/>
      <c r="F388" s="298"/>
    </row>
    <row r="389">
      <c r="C389" s="29"/>
      <c r="D389" s="350"/>
      <c r="E389" s="298"/>
      <c r="F389" s="298"/>
    </row>
    <row r="390">
      <c r="C390" s="29"/>
      <c r="D390" s="350"/>
      <c r="E390" s="298"/>
      <c r="F390" s="298"/>
    </row>
    <row r="391">
      <c r="C391" s="29"/>
      <c r="D391" s="350"/>
      <c r="E391" s="298"/>
      <c r="F391" s="298"/>
    </row>
    <row r="392">
      <c r="C392" s="29"/>
      <c r="D392" s="350"/>
      <c r="E392" s="298"/>
      <c r="F392" s="298"/>
    </row>
    <row r="393">
      <c r="C393" s="29"/>
      <c r="D393" s="350"/>
      <c r="E393" s="298"/>
      <c r="F393" s="298"/>
    </row>
    <row r="394">
      <c r="C394" s="29"/>
      <c r="D394" s="350"/>
      <c r="E394" s="298"/>
      <c r="F394" s="298"/>
    </row>
    <row r="395">
      <c r="C395" s="29"/>
      <c r="D395" s="350"/>
      <c r="E395" s="298"/>
      <c r="F395" s="298"/>
    </row>
    <row r="396">
      <c r="C396" s="29"/>
      <c r="D396" s="350"/>
      <c r="E396" s="298"/>
      <c r="F396" s="298"/>
    </row>
    <row r="397">
      <c r="C397" s="29"/>
      <c r="D397" s="350"/>
      <c r="E397" s="298"/>
      <c r="F397" s="298"/>
    </row>
    <row r="398">
      <c r="C398" s="29"/>
      <c r="D398" s="350"/>
      <c r="E398" s="298"/>
      <c r="F398" s="298"/>
    </row>
    <row r="399">
      <c r="C399" s="29"/>
      <c r="D399" s="350"/>
      <c r="E399" s="298"/>
      <c r="F399" s="298"/>
    </row>
    <row r="400">
      <c r="C400" s="29"/>
      <c r="D400" s="350"/>
      <c r="E400" s="298"/>
      <c r="F400" s="298"/>
    </row>
    <row r="401">
      <c r="C401" s="29"/>
      <c r="D401" s="350"/>
      <c r="E401" s="298"/>
      <c r="F401" s="298"/>
    </row>
    <row r="402">
      <c r="C402" s="29"/>
      <c r="D402" s="350"/>
      <c r="E402" s="298"/>
      <c r="F402" s="298"/>
    </row>
    <row r="403">
      <c r="C403" s="29"/>
      <c r="D403" s="350"/>
      <c r="E403" s="298"/>
      <c r="F403" s="298"/>
    </row>
    <row r="404">
      <c r="C404" s="29"/>
      <c r="D404" s="350"/>
      <c r="E404" s="298"/>
      <c r="F404" s="298"/>
    </row>
    <row r="405">
      <c r="C405" s="29"/>
      <c r="D405" s="350"/>
      <c r="E405" s="298"/>
      <c r="F405" s="298"/>
    </row>
    <row r="406">
      <c r="C406" s="29"/>
      <c r="D406" s="350"/>
      <c r="E406" s="298"/>
      <c r="F406" s="298"/>
    </row>
    <row r="407">
      <c r="C407" s="29"/>
      <c r="D407" s="350"/>
      <c r="E407" s="298"/>
      <c r="F407" s="298"/>
    </row>
    <row r="408">
      <c r="C408" s="29"/>
      <c r="D408" s="350"/>
      <c r="E408" s="298"/>
      <c r="F408" s="298"/>
    </row>
    <row r="409">
      <c r="C409" s="29"/>
      <c r="D409" s="350"/>
      <c r="E409" s="298"/>
      <c r="F409" s="298"/>
    </row>
    <row r="410">
      <c r="C410" s="29"/>
      <c r="D410" s="350"/>
      <c r="E410" s="298"/>
      <c r="F410" s="298"/>
    </row>
    <row r="411">
      <c r="C411" s="29"/>
      <c r="D411" s="350"/>
      <c r="E411" s="298"/>
      <c r="F411" s="298"/>
    </row>
    <row r="412">
      <c r="C412" s="29"/>
      <c r="D412" s="350"/>
      <c r="E412" s="298"/>
      <c r="F412" s="298"/>
    </row>
    <row r="413">
      <c r="C413" s="29"/>
      <c r="D413" s="350"/>
      <c r="E413" s="298"/>
      <c r="F413" s="298"/>
    </row>
    <row r="414">
      <c r="C414" s="29"/>
      <c r="D414" s="350"/>
      <c r="E414" s="298"/>
      <c r="F414" s="298"/>
    </row>
    <row r="415">
      <c r="C415" s="29"/>
      <c r="D415" s="350"/>
      <c r="E415" s="298"/>
      <c r="F415" s="298"/>
    </row>
    <row r="416">
      <c r="C416" s="29"/>
      <c r="D416" s="350"/>
      <c r="E416" s="298"/>
      <c r="F416" s="298"/>
    </row>
    <row r="417">
      <c r="C417" s="29"/>
      <c r="D417" s="350"/>
      <c r="E417" s="298"/>
      <c r="F417" s="298"/>
    </row>
    <row r="418">
      <c r="C418" s="29"/>
      <c r="D418" s="350"/>
      <c r="E418" s="298"/>
      <c r="F418" s="298"/>
    </row>
    <row r="419">
      <c r="C419" s="29"/>
      <c r="D419" s="350"/>
      <c r="E419" s="298"/>
      <c r="F419" s="298"/>
    </row>
    <row r="420">
      <c r="C420" s="29"/>
      <c r="D420" s="350"/>
      <c r="E420" s="298"/>
      <c r="F420" s="298"/>
    </row>
    <row r="421">
      <c r="C421" s="29"/>
      <c r="D421" s="350"/>
      <c r="E421" s="298"/>
      <c r="F421" s="298"/>
    </row>
    <row r="422">
      <c r="C422" s="29"/>
      <c r="D422" s="350"/>
      <c r="E422" s="298"/>
      <c r="F422" s="298"/>
    </row>
    <row r="423">
      <c r="C423" s="29"/>
      <c r="D423" s="350"/>
      <c r="E423" s="298"/>
      <c r="F423" s="298"/>
    </row>
    <row r="424">
      <c r="C424" s="29"/>
      <c r="D424" s="350"/>
      <c r="E424" s="298"/>
      <c r="F424" s="298"/>
    </row>
    <row r="425">
      <c r="C425" s="29"/>
      <c r="D425" s="350"/>
      <c r="E425" s="298"/>
      <c r="F425" s="298"/>
    </row>
    <row r="426">
      <c r="C426" s="29"/>
      <c r="D426" s="350"/>
      <c r="E426" s="298"/>
      <c r="F426" s="298"/>
    </row>
    <row r="427">
      <c r="C427" s="29"/>
      <c r="D427" s="350"/>
      <c r="E427" s="298"/>
      <c r="F427" s="298"/>
    </row>
    <row r="428">
      <c r="C428" s="29"/>
      <c r="D428" s="350"/>
      <c r="E428" s="298"/>
      <c r="F428" s="298"/>
    </row>
    <row r="429">
      <c r="C429" s="29"/>
      <c r="D429" s="350"/>
      <c r="E429" s="298"/>
      <c r="F429" s="298"/>
    </row>
    <row r="430">
      <c r="C430" s="29"/>
      <c r="D430" s="350"/>
      <c r="E430" s="298"/>
      <c r="F430" s="298"/>
    </row>
    <row r="431">
      <c r="C431" s="29"/>
      <c r="D431" s="350"/>
      <c r="E431" s="298"/>
      <c r="F431" s="298"/>
    </row>
    <row r="432">
      <c r="C432" s="29"/>
      <c r="D432" s="350"/>
      <c r="E432" s="298"/>
      <c r="F432" s="298"/>
    </row>
    <row r="433">
      <c r="C433" s="29"/>
      <c r="D433" s="350"/>
      <c r="E433" s="298"/>
      <c r="F433" s="298"/>
    </row>
    <row r="434">
      <c r="C434" s="29"/>
      <c r="D434" s="350"/>
      <c r="E434" s="298"/>
      <c r="F434" s="298"/>
    </row>
    <row r="435">
      <c r="C435" s="29"/>
      <c r="D435" s="350"/>
      <c r="E435" s="298"/>
      <c r="F435" s="298"/>
    </row>
    <row r="436">
      <c r="C436" s="29"/>
      <c r="D436" s="350"/>
      <c r="E436" s="298"/>
      <c r="F436" s="298"/>
    </row>
    <row r="437">
      <c r="C437" s="29"/>
      <c r="D437" s="350"/>
      <c r="E437" s="298"/>
      <c r="F437" s="298"/>
    </row>
    <row r="438">
      <c r="C438" s="29"/>
      <c r="D438" s="350"/>
      <c r="E438" s="298"/>
      <c r="F438" s="298"/>
    </row>
    <row r="439">
      <c r="C439" s="29"/>
      <c r="D439" s="350"/>
      <c r="E439" s="298"/>
      <c r="F439" s="298"/>
    </row>
    <row r="440">
      <c r="C440" s="29"/>
      <c r="D440" s="350"/>
      <c r="E440" s="298"/>
      <c r="F440" s="298"/>
    </row>
    <row r="441">
      <c r="C441" s="29"/>
      <c r="D441" s="350"/>
      <c r="E441" s="298"/>
      <c r="F441" s="298"/>
    </row>
    <row r="442">
      <c r="C442" s="29"/>
      <c r="D442" s="350"/>
      <c r="E442" s="298"/>
      <c r="F442" s="298"/>
    </row>
    <row r="443">
      <c r="C443" s="29"/>
      <c r="D443" s="350"/>
      <c r="E443" s="298"/>
      <c r="F443" s="298"/>
    </row>
    <row r="444">
      <c r="C444" s="29"/>
      <c r="D444" s="350"/>
      <c r="E444" s="298"/>
      <c r="F444" s="298"/>
    </row>
    <row r="445">
      <c r="C445" s="29"/>
      <c r="D445" s="350"/>
      <c r="E445" s="298"/>
      <c r="F445" s="298"/>
    </row>
    <row r="446">
      <c r="C446" s="29"/>
      <c r="D446" s="350"/>
      <c r="E446" s="298"/>
      <c r="F446" s="298"/>
    </row>
    <row r="447">
      <c r="C447" s="29"/>
      <c r="D447" s="350"/>
      <c r="E447" s="298"/>
      <c r="F447" s="298"/>
    </row>
    <row r="448">
      <c r="C448" s="29"/>
      <c r="D448" s="350"/>
      <c r="E448" s="298"/>
      <c r="F448" s="298"/>
    </row>
    <row r="449">
      <c r="C449" s="29"/>
      <c r="D449" s="350"/>
      <c r="E449" s="298"/>
      <c r="F449" s="298"/>
    </row>
    <row r="450">
      <c r="C450" s="29"/>
      <c r="D450" s="350"/>
      <c r="E450" s="298"/>
      <c r="F450" s="298"/>
    </row>
    <row r="451">
      <c r="C451" s="29"/>
      <c r="D451" s="350"/>
      <c r="E451" s="298"/>
      <c r="F451" s="298"/>
    </row>
    <row r="452">
      <c r="C452" s="29"/>
      <c r="D452" s="350"/>
      <c r="E452" s="298"/>
      <c r="F452" s="298"/>
    </row>
    <row r="453">
      <c r="C453" s="29"/>
      <c r="D453" s="350"/>
      <c r="E453" s="298"/>
      <c r="F453" s="298"/>
    </row>
    <row r="454">
      <c r="C454" s="29"/>
      <c r="D454" s="350"/>
      <c r="E454" s="298"/>
      <c r="F454" s="298"/>
    </row>
    <row r="455">
      <c r="C455" s="29"/>
      <c r="D455" s="350"/>
      <c r="E455" s="298"/>
      <c r="F455" s="298"/>
    </row>
    <row r="456">
      <c r="C456" s="29"/>
      <c r="D456" s="350"/>
      <c r="E456" s="298"/>
      <c r="F456" s="298"/>
    </row>
    <row r="457">
      <c r="C457" s="29"/>
      <c r="D457" s="350"/>
      <c r="E457" s="298"/>
      <c r="F457" s="298"/>
    </row>
    <row r="458">
      <c r="C458" s="29"/>
      <c r="D458" s="350"/>
      <c r="E458" s="298"/>
      <c r="F458" s="298"/>
    </row>
    <row r="459">
      <c r="C459" s="29"/>
      <c r="D459" s="350"/>
      <c r="E459" s="298"/>
      <c r="F459" s="298"/>
    </row>
    <row r="460">
      <c r="C460" s="29"/>
      <c r="D460" s="350"/>
      <c r="E460" s="298"/>
      <c r="F460" s="298"/>
    </row>
    <row r="461">
      <c r="C461" s="29"/>
      <c r="D461" s="350"/>
      <c r="E461" s="298"/>
      <c r="F461" s="298"/>
    </row>
    <row r="462">
      <c r="C462" s="29"/>
      <c r="D462" s="350"/>
      <c r="E462" s="298"/>
      <c r="F462" s="298"/>
    </row>
    <row r="463">
      <c r="C463" s="29"/>
      <c r="D463" s="350"/>
      <c r="E463" s="298"/>
      <c r="F463" s="298"/>
    </row>
    <row r="464">
      <c r="C464" s="29"/>
      <c r="D464" s="350"/>
      <c r="E464" s="298"/>
      <c r="F464" s="298"/>
    </row>
    <row r="465">
      <c r="C465" s="29"/>
      <c r="D465" s="350"/>
      <c r="E465" s="298"/>
      <c r="F465" s="298"/>
    </row>
    <row r="466">
      <c r="C466" s="29"/>
      <c r="D466" s="350"/>
      <c r="E466" s="298"/>
      <c r="F466" s="298"/>
    </row>
    <row r="467">
      <c r="C467" s="29"/>
      <c r="D467" s="350"/>
      <c r="E467" s="298"/>
      <c r="F467" s="298"/>
    </row>
    <row r="468">
      <c r="C468" s="29"/>
      <c r="D468" s="350"/>
      <c r="E468" s="298"/>
      <c r="F468" s="298"/>
    </row>
    <row r="469">
      <c r="C469" s="29"/>
      <c r="D469" s="350"/>
      <c r="E469" s="298"/>
      <c r="F469" s="298"/>
    </row>
    <row r="470">
      <c r="C470" s="29"/>
      <c r="D470" s="350"/>
      <c r="E470" s="298"/>
      <c r="F470" s="298"/>
    </row>
    <row r="471">
      <c r="C471" s="29"/>
      <c r="D471" s="350"/>
      <c r="E471" s="298"/>
      <c r="F471" s="298"/>
    </row>
    <row r="472">
      <c r="C472" s="29"/>
      <c r="D472" s="350"/>
      <c r="E472" s="298"/>
      <c r="F472" s="298"/>
    </row>
    <row r="473">
      <c r="C473" s="29"/>
      <c r="D473" s="350"/>
      <c r="E473" s="298"/>
      <c r="F473" s="298"/>
    </row>
    <row r="474">
      <c r="C474" s="29"/>
      <c r="D474" s="350"/>
      <c r="E474" s="298"/>
      <c r="F474" s="298"/>
    </row>
    <row r="475">
      <c r="C475" s="29"/>
      <c r="D475" s="350"/>
      <c r="E475" s="298"/>
      <c r="F475" s="298"/>
    </row>
    <row r="476">
      <c r="C476" s="29"/>
      <c r="D476" s="350"/>
      <c r="E476" s="298"/>
      <c r="F476" s="298"/>
    </row>
    <row r="477">
      <c r="C477" s="29"/>
      <c r="D477" s="350"/>
      <c r="E477" s="298"/>
      <c r="F477" s="298"/>
    </row>
    <row r="478">
      <c r="C478" s="29"/>
      <c r="D478" s="350"/>
      <c r="E478" s="298"/>
      <c r="F478" s="298"/>
    </row>
    <row r="479">
      <c r="C479" s="29"/>
      <c r="D479" s="350"/>
      <c r="E479" s="298"/>
      <c r="F479" s="298"/>
    </row>
    <row r="480">
      <c r="C480" s="29"/>
      <c r="D480" s="350"/>
      <c r="E480" s="298"/>
      <c r="F480" s="298"/>
    </row>
    <row r="481">
      <c r="C481" s="29"/>
      <c r="D481" s="350"/>
      <c r="E481" s="298"/>
      <c r="F481" s="298"/>
    </row>
    <row r="482">
      <c r="C482" s="29"/>
      <c r="D482" s="350"/>
      <c r="E482" s="298"/>
      <c r="F482" s="298"/>
    </row>
    <row r="483">
      <c r="C483" s="29"/>
      <c r="D483" s="350"/>
      <c r="E483" s="298"/>
      <c r="F483" s="298"/>
    </row>
    <row r="484">
      <c r="C484" s="29"/>
      <c r="D484" s="350"/>
      <c r="E484" s="298"/>
      <c r="F484" s="298"/>
    </row>
    <row r="485">
      <c r="C485" s="29"/>
      <c r="D485" s="350"/>
      <c r="E485" s="298"/>
      <c r="F485" s="298"/>
    </row>
    <row r="486">
      <c r="C486" s="29"/>
      <c r="D486" s="350"/>
      <c r="E486" s="298"/>
      <c r="F486" s="298"/>
    </row>
    <row r="487">
      <c r="C487" s="29"/>
      <c r="D487" s="350"/>
      <c r="E487" s="298"/>
      <c r="F487" s="298"/>
    </row>
    <row r="488">
      <c r="C488" s="29"/>
      <c r="D488" s="350"/>
      <c r="E488" s="298"/>
      <c r="F488" s="298"/>
    </row>
    <row r="489">
      <c r="C489" s="29"/>
      <c r="D489" s="350"/>
      <c r="E489" s="298"/>
      <c r="F489" s="298"/>
    </row>
    <row r="490">
      <c r="C490" s="29"/>
      <c r="D490" s="350"/>
      <c r="E490" s="298"/>
      <c r="F490" s="298"/>
    </row>
    <row r="491">
      <c r="C491" s="29"/>
      <c r="D491" s="350"/>
      <c r="E491" s="298"/>
      <c r="F491" s="298"/>
    </row>
    <row r="492">
      <c r="C492" s="29"/>
      <c r="D492" s="350"/>
      <c r="E492" s="298"/>
      <c r="F492" s="298"/>
    </row>
    <row r="493">
      <c r="C493" s="29"/>
      <c r="D493" s="350"/>
      <c r="E493" s="298"/>
      <c r="F493" s="298"/>
    </row>
    <row r="494">
      <c r="C494" s="29"/>
      <c r="D494" s="350"/>
      <c r="E494" s="298"/>
      <c r="F494" s="298"/>
    </row>
    <row r="495">
      <c r="C495" s="29"/>
      <c r="D495" s="350"/>
      <c r="E495" s="298"/>
      <c r="F495" s="298"/>
    </row>
    <row r="496">
      <c r="C496" s="29"/>
      <c r="D496" s="350"/>
      <c r="E496" s="298"/>
      <c r="F496" s="298"/>
    </row>
    <row r="497">
      <c r="C497" s="29"/>
      <c r="D497" s="350"/>
      <c r="E497" s="298"/>
      <c r="F497" s="298"/>
    </row>
    <row r="498">
      <c r="C498" s="29"/>
      <c r="D498" s="350"/>
      <c r="E498" s="298"/>
      <c r="F498" s="298"/>
    </row>
    <row r="499">
      <c r="C499" s="29"/>
      <c r="D499" s="350"/>
      <c r="E499" s="298"/>
      <c r="F499" s="298"/>
    </row>
    <row r="500">
      <c r="C500" s="29"/>
      <c r="D500" s="350"/>
      <c r="E500" s="298"/>
      <c r="F500" s="298"/>
    </row>
    <row r="501">
      <c r="C501" s="29"/>
      <c r="D501" s="350"/>
      <c r="E501" s="298"/>
      <c r="F501" s="298"/>
    </row>
    <row r="502">
      <c r="C502" s="29"/>
      <c r="D502" s="350"/>
      <c r="E502" s="298"/>
      <c r="F502" s="298"/>
    </row>
    <row r="503">
      <c r="C503" s="29"/>
      <c r="D503" s="350"/>
      <c r="E503" s="298"/>
      <c r="F503" s="298"/>
    </row>
    <row r="504">
      <c r="C504" s="29"/>
      <c r="D504" s="350"/>
      <c r="E504" s="298"/>
      <c r="F504" s="298"/>
    </row>
    <row r="505">
      <c r="C505" s="29"/>
      <c r="D505" s="350"/>
      <c r="E505" s="298"/>
      <c r="F505" s="298"/>
    </row>
    <row r="506">
      <c r="C506" s="29"/>
      <c r="D506" s="350"/>
      <c r="E506" s="298"/>
      <c r="F506" s="298"/>
    </row>
    <row r="507">
      <c r="C507" s="29"/>
      <c r="D507" s="350"/>
      <c r="E507" s="298"/>
      <c r="F507" s="298"/>
    </row>
    <row r="508">
      <c r="C508" s="29"/>
      <c r="D508" s="350"/>
      <c r="E508" s="298"/>
      <c r="F508" s="298"/>
    </row>
    <row r="509">
      <c r="C509" s="29"/>
      <c r="D509" s="350"/>
      <c r="E509" s="298"/>
      <c r="F509" s="298"/>
    </row>
    <row r="510">
      <c r="C510" s="29"/>
      <c r="D510" s="350"/>
      <c r="E510" s="298"/>
      <c r="F510" s="298"/>
    </row>
    <row r="511">
      <c r="C511" s="29"/>
      <c r="D511" s="350"/>
      <c r="E511" s="298"/>
      <c r="F511" s="298"/>
    </row>
    <row r="512">
      <c r="C512" s="29"/>
      <c r="D512" s="350"/>
      <c r="E512" s="298"/>
      <c r="F512" s="298"/>
    </row>
    <row r="513">
      <c r="C513" s="29"/>
      <c r="D513" s="350"/>
      <c r="E513" s="298"/>
      <c r="F513" s="298"/>
    </row>
    <row r="514">
      <c r="C514" s="29"/>
      <c r="D514" s="350"/>
      <c r="E514" s="298"/>
      <c r="F514" s="298"/>
    </row>
    <row r="515">
      <c r="C515" s="29"/>
      <c r="D515" s="350"/>
      <c r="E515" s="298"/>
      <c r="F515" s="298"/>
    </row>
    <row r="516">
      <c r="C516" s="29"/>
      <c r="D516" s="350"/>
      <c r="E516" s="298"/>
      <c r="F516" s="298"/>
    </row>
    <row r="517">
      <c r="C517" s="29"/>
      <c r="D517" s="350"/>
      <c r="E517" s="298"/>
      <c r="F517" s="298"/>
    </row>
    <row r="518">
      <c r="C518" s="29"/>
      <c r="D518" s="350"/>
      <c r="E518" s="298"/>
      <c r="F518" s="298"/>
    </row>
    <row r="519">
      <c r="C519" s="29"/>
      <c r="D519" s="350"/>
      <c r="E519" s="298"/>
      <c r="F519" s="298"/>
    </row>
    <row r="520">
      <c r="C520" s="29"/>
      <c r="D520" s="350"/>
      <c r="E520" s="298"/>
      <c r="F520" s="298"/>
    </row>
    <row r="521">
      <c r="C521" s="29"/>
      <c r="D521" s="350"/>
      <c r="E521" s="298"/>
      <c r="F521" s="298"/>
    </row>
    <row r="522">
      <c r="C522" s="29"/>
      <c r="D522" s="350"/>
      <c r="E522" s="298"/>
      <c r="F522" s="298"/>
    </row>
    <row r="523">
      <c r="C523" s="29"/>
      <c r="D523" s="350"/>
      <c r="E523" s="298"/>
      <c r="F523" s="298"/>
    </row>
    <row r="524">
      <c r="C524" s="29"/>
      <c r="D524" s="350"/>
      <c r="E524" s="298"/>
      <c r="F524" s="298"/>
    </row>
    <row r="525">
      <c r="C525" s="29"/>
      <c r="D525" s="350"/>
      <c r="E525" s="298"/>
      <c r="F525" s="298"/>
    </row>
    <row r="526">
      <c r="C526" s="29"/>
      <c r="D526" s="350"/>
      <c r="E526" s="298"/>
      <c r="F526" s="298"/>
    </row>
    <row r="527">
      <c r="C527" s="29"/>
      <c r="D527" s="350"/>
      <c r="E527" s="298"/>
      <c r="F527" s="298"/>
    </row>
    <row r="528">
      <c r="C528" s="29"/>
      <c r="D528" s="350"/>
      <c r="E528" s="298"/>
      <c r="F528" s="298"/>
    </row>
    <row r="529">
      <c r="C529" s="29"/>
      <c r="D529" s="350"/>
      <c r="E529" s="298"/>
      <c r="F529" s="298"/>
    </row>
    <row r="530">
      <c r="C530" s="29"/>
      <c r="D530" s="350"/>
      <c r="E530" s="298"/>
      <c r="F530" s="298"/>
    </row>
    <row r="531">
      <c r="C531" s="29"/>
      <c r="D531" s="350"/>
      <c r="E531" s="298"/>
      <c r="F531" s="298"/>
    </row>
    <row r="532">
      <c r="C532" s="29"/>
      <c r="D532" s="350"/>
      <c r="E532" s="298"/>
      <c r="F532" s="298"/>
    </row>
    <row r="533">
      <c r="C533" s="29"/>
      <c r="D533" s="350"/>
      <c r="E533" s="298"/>
      <c r="F533" s="298"/>
    </row>
    <row r="534">
      <c r="C534" s="29"/>
      <c r="D534" s="350"/>
      <c r="E534" s="298"/>
      <c r="F534" s="298"/>
    </row>
    <row r="535">
      <c r="C535" s="29"/>
      <c r="D535" s="350"/>
      <c r="E535" s="298"/>
      <c r="F535" s="298"/>
    </row>
    <row r="536">
      <c r="C536" s="29"/>
      <c r="D536" s="350"/>
      <c r="E536" s="298"/>
      <c r="F536" s="298"/>
    </row>
    <row r="537">
      <c r="C537" s="29"/>
      <c r="D537" s="350"/>
      <c r="E537" s="298"/>
      <c r="F537" s="298"/>
    </row>
    <row r="538">
      <c r="C538" s="29"/>
      <c r="D538" s="350"/>
      <c r="E538" s="298"/>
      <c r="F538" s="298"/>
    </row>
    <row r="539">
      <c r="C539" s="29"/>
      <c r="D539" s="350"/>
      <c r="E539" s="298"/>
      <c r="F539" s="298"/>
    </row>
    <row r="540">
      <c r="C540" s="29"/>
      <c r="D540" s="350"/>
      <c r="E540" s="298"/>
      <c r="F540" s="298"/>
    </row>
    <row r="541">
      <c r="C541" s="29"/>
      <c r="D541" s="350"/>
      <c r="E541" s="298"/>
      <c r="F541" s="298"/>
    </row>
    <row r="542">
      <c r="C542" s="29"/>
      <c r="D542" s="350"/>
      <c r="E542" s="298"/>
      <c r="F542" s="298"/>
    </row>
    <row r="543">
      <c r="C543" s="29"/>
      <c r="D543" s="350"/>
      <c r="E543" s="298"/>
      <c r="F543" s="298"/>
    </row>
    <row r="544">
      <c r="C544" s="29"/>
      <c r="D544" s="350"/>
      <c r="E544" s="298"/>
      <c r="F544" s="298"/>
    </row>
    <row r="545">
      <c r="C545" s="29"/>
      <c r="D545" s="350"/>
      <c r="E545" s="298"/>
      <c r="F545" s="298"/>
    </row>
    <row r="546">
      <c r="C546" s="29"/>
      <c r="D546" s="350"/>
      <c r="E546" s="298"/>
      <c r="F546" s="298"/>
    </row>
    <row r="547">
      <c r="C547" s="29"/>
      <c r="D547" s="350"/>
      <c r="E547" s="298"/>
      <c r="F547" s="298"/>
    </row>
    <row r="548">
      <c r="C548" s="29"/>
      <c r="D548" s="350"/>
      <c r="E548" s="298"/>
      <c r="F548" s="298"/>
    </row>
    <row r="549">
      <c r="C549" s="29"/>
      <c r="D549" s="350"/>
      <c r="E549" s="298"/>
      <c r="F549" s="298"/>
    </row>
    <row r="550">
      <c r="C550" s="29"/>
      <c r="D550" s="350"/>
      <c r="E550" s="298"/>
      <c r="F550" s="298"/>
    </row>
    <row r="551">
      <c r="C551" s="29"/>
      <c r="D551" s="350"/>
      <c r="E551" s="298"/>
      <c r="F551" s="298"/>
    </row>
    <row r="552">
      <c r="C552" s="29"/>
      <c r="D552" s="350"/>
      <c r="E552" s="298"/>
      <c r="F552" s="298"/>
    </row>
    <row r="553">
      <c r="C553" s="29"/>
      <c r="D553" s="350"/>
      <c r="E553" s="298"/>
      <c r="F553" s="298"/>
    </row>
    <row r="554">
      <c r="C554" s="29"/>
      <c r="D554" s="350"/>
      <c r="E554" s="298"/>
      <c r="F554" s="298"/>
    </row>
    <row r="555">
      <c r="C555" s="29"/>
      <c r="D555" s="350"/>
      <c r="E555" s="298"/>
      <c r="F555" s="298"/>
    </row>
    <row r="556">
      <c r="C556" s="29"/>
      <c r="D556" s="350"/>
      <c r="E556" s="298"/>
      <c r="F556" s="298"/>
    </row>
    <row r="557">
      <c r="C557" s="29"/>
      <c r="D557" s="350"/>
      <c r="E557" s="298"/>
      <c r="F557" s="298"/>
    </row>
    <row r="558">
      <c r="C558" s="29"/>
      <c r="D558" s="350"/>
      <c r="E558" s="298"/>
      <c r="F558" s="298"/>
    </row>
    <row r="559">
      <c r="C559" s="29"/>
      <c r="D559" s="350"/>
      <c r="E559" s="298"/>
      <c r="F559" s="298"/>
    </row>
    <row r="560">
      <c r="C560" s="29"/>
      <c r="D560" s="350"/>
      <c r="E560" s="298"/>
      <c r="F560" s="298"/>
    </row>
    <row r="561">
      <c r="C561" s="29"/>
      <c r="D561" s="350"/>
      <c r="E561" s="298"/>
      <c r="F561" s="298"/>
    </row>
    <row r="562">
      <c r="C562" s="29"/>
      <c r="D562" s="350"/>
      <c r="E562" s="298"/>
      <c r="F562" s="298"/>
    </row>
    <row r="563">
      <c r="C563" s="29"/>
      <c r="D563" s="350"/>
      <c r="E563" s="298"/>
      <c r="F563" s="298"/>
    </row>
    <row r="564">
      <c r="C564" s="29"/>
      <c r="D564" s="350"/>
      <c r="E564" s="298"/>
      <c r="F564" s="298"/>
    </row>
    <row r="565">
      <c r="C565" s="29"/>
      <c r="D565" s="350"/>
      <c r="E565" s="298"/>
      <c r="F565" s="298"/>
    </row>
    <row r="566">
      <c r="C566" s="29"/>
      <c r="D566" s="350"/>
      <c r="E566" s="298"/>
      <c r="F566" s="298"/>
    </row>
    <row r="567">
      <c r="C567" s="29"/>
      <c r="D567" s="350"/>
      <c r="E567" s="298"/>
      <c r="F567" s="298"/>
    </row>
    <row r="568">
      <c r="C568" s="29"/>
      <c r="D568" s="350"/>
      <c r="E568" s="298"/>
      <c r="F568" s="298"/>
    </row>
    <row r="569">
      <c r="C569" s="29"/>
      <c r="D569" s="350"/>
      <c r="E569" s="298"/>
      <c r="F569" s="298"/>
    </row>
    <row r="570">
      <c r="C570" s="29"/>
      <c r="D570" s="350"/>
      <c r="E570" s="298"/>
      <c r="F570" s="298"/>
    </row>
    <row r="571">
      <c r="C571" s="29"/>
      <c r="D571" s="350"/>
      <c r="E571" s="298"/>
      <c r="F571" s="298"/>
    </row>
    <row r="572">
      <c r="C572" s="29"/>
      <c r="D572" s="350"/>
      <c r="E572" s="298"/>
      <c r="F572" s="298"/>
    </row>
    <row r="573">
      <c r="C573" s="29"/>
      <c r="D573" s="350"/>
      <c r="E573" s="298"/>
      <c r="F573" s="298"/>
    </row>
    <row r="574">
      <c r="C574" s="29"/>
      <c r="D574" s="350"/>
      <c r="E574" s="298"/>
      <c r="F574" s="298"/>
    </row>
    <row r="575">
      <c r="C575" s="29"/>
      <c r="D575" s="350"/>
      <c r="E575" s="298"/>
      <c r="F575" s="298"/>
    </row>
    <row r="576">
      <c r="C576" s="29"/>
      <c r="D576" s="350"/>
      <c r="E576" s="298"/>
      <c r="F576" s="298"/>
    </row>
    <row r="577">
      <c r="C577" s="29"/>
      <c r="D577" s="350"/>
      <c r="E577" s="298"/>
      <c r="F577" s="298"/>
    </row>
    <row r="578">
      <c r="C578" s="29"/>
      <c r="D578" s="350"/>
      <c r="E578" s="298"/>
      <c r="F578" s="298"/>
    </row>
    <row r="579">
      <c r="C579" s="29"/>
      <c r="D579" s="350"/>
      <c r="E579" s="298"/>
      <c r="F579" s="298"/>
    </row>
    <row r="580">
      <c r="C580" s="29"/>
      <c r="D580" s="350"/>
      <c r="E580" s="298"/>
      <c r="F580" s="298"/>
    </row>
    <row r="581">
      <c r="C581" s="29"/>
      <c r="D581" s="350"/>
      <c r="E581" s="298"/>
      <c r="F581" s="298"/>
    </row>
    <row r="582">
      <c r="C582" s="29"/>
      <c r="D582" s="350"/>
      <c r="E582" s="298"/>
      <c r="F582" s="298"/>
    </row>
    <row r="583">
      <c r="C583" s="29"/>
      <c r="D583" s="350"/>
      <c r="E583" s="298"/>
      <c r="F583" s="298"/>
    </row>
    <row r="584">
      <c r="C584" s="29"/>
      <c r="D584" s="350"/>
      <c r="E584" s="298"/>
      <c r="F584" s="298"/>
    </row>
    <row r="585">
      <c r="C585" s="29"/>
      <c r="D585" s="350"/>
      <c r="E585" s="298"/>
      <c r="F585" s="298"/>
    </row>
    <row r="586">
      <c r="C586" s="29"/>
      <c r="D586" s="350"/>
      <c r="E586" s="298"/>
      <c r="F586" s="298"/>
    </row>
    <row r="587">
      <c r="C587" s="29"/>
      <c r="D587" s="350"/>
      <c r="E587" s="298"/>
      <c r="F587" s="298"/>
    </row>
    <row r="588">
      <c r="C588" s="29"/>
      <c r="D588" s="350"/>
      <c r="E588" s="298"/>
      <c r="F588" s="298"/>
    </row>
    <row r="589">
      <c r="C589" s="29"/>
      <c r="D589" s="350"/>
      <c r="E589" s="298"/>
      <c r="F589" s="298"/>
    </row>
    <row r="590">
      <c r="C590" s="29"/>
      <c r="D590" s="350"/>
      <c r="E590" s="298"/>
      <c r="F590" s="298"/>
    </row>
    <row r="591">
      <c r="C591" s="29"/>
      <c r="D591" s="350"/>
      <c r="E591" s="298"/>
      <c r="F591" s="298"/>
    </row>
    <row r="592">
      <c r="C592" s="29"/>
      <c r="D592" s="350"/>
      <c r="E592" s="298"/>
      <c r="F592" s="298"/>
    </row>
    <row r="593">
      <c r="C593" s="29"/>
      <c r="D593" s="350"/>
      <c r="E593" s="298"/>
      <c r="F593" s="298"/>
    </row>
    <row r="594">
      <c r="C594" s="29"/>
      <c r="D594" s="350"/>
      <c r="E594" s="298"/>
      <c r="F594" s="298"/>
    </row>
    <row r="595">
      <c r="C595" s="29"/>
      <c r="D595" s="350"/>
      <c r="E595" s="298"/>
      <c r="F595" s="298"/>
    </row>
    <row r="596">
      <c r="C596" s="29"/>
      <c r="D596" s="350"/>
      <c r="E596" s="298"/>
      <c r="F596" s="298"/>
    </row>
    <row r="597">
      <c r="C597" s="29"/>
      <c r="D597" s="350"/>
      <c r="E597" s="298"/>
      <c r="F597" s="298"/>
    </row>
    <row r="598">
      <c r="C598" s="29"/>
      <c r="D598" s="350"/>
      <c r="E598" s="298"/>
      <c r="F598" s="298"/>
    </row>
    <row r="599">
      <c r="C599" s="29"/>
      <c r="D599" s="350"/>
      <c r="E599" s="298"/>
      <c r="F599" s="298"/>
    </row>
    <row r="600">
      <c r="C600" s="29"/>
      <c r="D600" s="350"/>
      <c r="E600" s="298"/>
      <c r="F600" s="298"/>
    </row>
    <row r="601">
      <c r="C601" s="29"/>
      <c r="D601" s="350"/>
      <c r="E601" s="298"/>
      <c r="F601" s="298"/>
    </row>
    <row r="602">
      <c r="C602" s="29"/>
      <c r="D602" s="350"/>
      <c r="E602" s="298"/>
      <c r="F602" s="298"/>
    </row>
    <row r="603">
      <c r="C603" s="29"/>
      <c r="D603" s="350"/>
      <c r="E603" s="298"/>
      <c r="F603" s="298"/>
    </row>
    <row r="604">
      <c r="C604" s="29"/>
      <c r="D604" s="350"/>
      <c r="E604" s="298"/>
      <c r="F604" s="298"/>
    </row>
    <row r="605">
      <c r="C605" s="29"/>
      <c r="D605" s="350"/>
      <c r="E605" s="298"/>
      <c r="F605" s="298"/>
    </row>
    <row r="606">
      <c r="C606" s="29"/>
      <c r="D606" s="350"/>
      <c r="E606" s="298"/>
      <c r="F606" s="298"/>
    </row>
    <row r="607">
      <c r="C607" s="29"/>
      <c r="D607" s="350"/>
      <c r="E607" s="298"/>
      <c r="F607" s="298"/>
    </row>
    <row r="608">
      <c r="C608" s="29"/>
      <c r="D608" s="350"/>
      <c r="E608" s="298"/>
      <c r="F608" s="298"/>
    </row>
    <row r="609">
      <c r="C609" s="29"/>
      <c r="D609" s="350"/>
      <c r="E609" s="298"/>
      <c r="F609" s="298"/>
    </row>
    <row r="610">
      <c r="C610" s="29"/>
      <c r="D610" s="350"/>
      <c r="E610" s="298"/>
      <c r="F610" s="298"/>
    </row>
    <row r="611">
      <c r="C611" s="29"/>
      <c r="D611" s="350"/>
      <c r="E611" s="298"/>
      <c r="F611" s="298"/>
    </row>
    <row r="612">
      <c r="C612" s="29"/>
      <c r="D612" s="350"/>
      <c r="E612" s="298"/>
      <c r="F612" s="298"/>
    </row>
    <row r="613">
      <c r="C613" s="29"/>
      <c r="D613" s="350"/>
      <c r="E613" s="298"/>
      <c r="F613" s="298"/>
    </row>
    <row r="614">
      <c r="C614" s="29"/>
      <c r="D614" s="350"/>
      <c r="E614" s="298"/>
      <c r="F614" s="298"/>
    </row>
    <row r="615">
      <c r="C615" s="29"/>
      <c r="D615" s="350"/>
      <c r="E615" s="298"/>
      <c r="F615" s="298"/>
    </row>
    <row r="616">
      <c r="C616" s="29"/>
      <c r="D616" s="350"/>
      <c r="E616" s="298"/>
      <c r="F616" s="298"/>
    </row>
    <row r="617">
      <c r="C617" s="29"/>
      <c r="D617" s="350"/>
      <c r="E617" s="298"/>
      <c r="F617" s="298"/>
    </row>
    <row r="618">
      <c r="C618" s="29"/>
      <c r="D618" s="350"/>
      <c r="E618" s="298"/>
      <c r="F618" s="298"/>
    </row>
    <row r="619">
      <c r="C619" s="29"/>
      <c r="D619" s="350"/>
      <c r="E619" s="298"/>
      <c r="F619" s="298"/>
    </row>
    <row r="620">
      <c r="C620" s="29"/>
      <c r="D620" s="350"/>
      <c r="E620" s="298"/>
      <c r="F620" s="298"/>
    </row>
    <row r="621">
      <c r="C621" s="29"/>
      <c r="D621" s="350"/>
      <c r="E621" s="298"/>
      <c r="F621" s="298"/>
    </row>
    <row r="622">
      <c r="C622" s="29"/>
      <c r="D622" s="350"/>
      <c r="E622" s="298"/>
      <c r="F622" s="298"/>
    </row>
    <row r="623">
      <c r="C623" s="29"/>
      <c r="D623" s="350"/>
      <c r="E623" s="298"/>
      <c r="F623" s="298"/>
    </row>
    <row r="624">
      <c r="C624" s="29"/>
      <c r="D624" s="350"/>
      <c r="E624" s="298"/>
      <c r="F624" s="298"/>
    </row>
    <row r="625">
      <c r="C625" s="29"/>
      <c r="D625" s="350"/>
      <c r="E625" s="298"/>
      <c r="F625" s="298"/>
    </row>
    <row r="626">
      <c r="C626" s="29"/>
      <c r="D626" s="350"/>
      <c r="E626" s="298"/>
      <c r="F626" s="298"/>
    </row>
    <row r="627">
      <c r="C627" s="29"/>
      <c r="D627" s="350"/>
      <c r="E627" s="298"/>
      <c r="F627" s="298"/>
    </row>
    <row r="628">
      <c r="C628" s="29"/>
      <c r="D628" s="350"/>
      <c r="E628" s="298"/>
      <c r="F628" s="298"/>
    </row>
    <row r="629">
      <c r="C629" s="29"/>
      <c r="D629" s="350"/>
      <c r="E629" s="298"/>
      <c r="F629" s="298"/>
    </row>
    <row r="630">
      <c r="C630" s="29"/>
      <c r="D630" s="350"/>
      <c r="E630" s="298"/>
      <c r="F630" s="298"/>
    </row>
    <row r="631">
      <c r="C631" s="29"/>
      <c r="D631" s="350"/>
      <c r="E631" s="298"/>
      <c r="F631" s="298"/>
    </row>
    <row r="632">
      <c r="C632" s="29"/>
      <c r="D632" s="350"/>
      <c r="E632" s="298"/>
      <c r="F632" s="298"/>
    </row>
    <row r="633">
      <c r="C633" s="29"/>
      <c r="D633" s="350"/>
      <c r="E633" s="298"/>
      <c r="F633" s="298"/>
    </row>
    <row r="634">
      <c r="C634" s="29"/>
      <c r="D634" s="350"/>
      <c r="E634" s="298"/>
      <c r="F634" s="298"/>
    </row>
    <row r="635">
      <c r="C635" s="29"/>
      <c r="D635" s="350"/>
      <c r="E635" s="298"/>
      <c r="F635" s="298"/>
    </row>
    <row r="636">
      <c r="C636" s="29"/>
      <c r="D636" s="350"/>
      <c r="E636" s="298"/>
      <c r="F636" s="298"/>
    </row>
    <row r="637">
      <c r="C637" s="29"/>
      <c r="D637" s="350"/>
      <c r="E637" s="298"/>
      <c r="F637" s="298"/>
    </row>
    <row r="638">
      <c r="C638" s="29"/>
      <c r="D638" s="350"/>
      <c r="E638" s="298"/>
      <c r="F638" s="298"/>
    </row>
    <row r="639">
      <c r="C639" s="29"/>
      <c r="D639" s="350"/>
      <c r="E639" s="298"/>
      <c r="F639" s="298"/>
    </row>
    <row r="640">
      <c r="C640" s="29"/>
      <c r="D640" s="350"/>
      <c r="E640" s="298"/>
      <c r="F640" s="298"/>
    </row>
    <row r="641">
      <c r="C641" s="29"/>
      <c r="D641" s="350"/>
      <c r="E641" s="298"/>
      <c r="F641" s="298"/>
    </row>
    <row r="642">
      <c r="C642" s="29"/>
      <c r="D642" s="350"/>
      <c r="E642" s="298"/>
      <c r="F642" s="298"/>
    </row>
    <row r="643">
      <c r="C643" s="29"/>
      <c r="D643" s="350"/>
      <c r="E643" s="298"/>
      <c r="F643" s="298"/>
    </row>
    <row r="644">
      <c r="C644" s="29"/>
      <c r="D644" s="350"/>
      <c r="E644" s="298"/>
      <c r="F644" s="298"/>
    </row>
    <row r="645">
      <c r="C645" s="29"/>
      <c r="D645" s="350"/>
      <c r="E645" s="298"/>
      <c r="F645" s="298"/>
    </row>
    <row r="646">
      <c r="C646" s="29"/>
      <c r="D646" s="350"/>
      <c r="E646" s="298"/>
      <c r="F646" s="298"/>
    </row>
    <row r="647">
      <c r="C647" s="29"/>
      <c r="D647" s="350"/>
      <c r="E647" s="298"/>
      <c r="F647" s="298"/>
    </row>
    <row r="648">
      <c r="C648" s="29"/>
      <c r="D648" s="350"/>
      <c r="E648" s="298"/>
      <c r="F648" s="298"/>
    </row>
    <row r="649">
      <c r="C649" s="29"/>
      <c r="D649" s="350"/>
      <c r="E649" s="298"/>
      <c r="F649" s="298"/>
    </row>
    <row r="650">
      <c r="C650" s="29"/>
      <c r="D650" s="350"/>
      <c r="E650" s="298"/>
      <c r="F650" s="298"/>
    </row>
    <row r="651">
      <c r="C651" s="29"/>
      <c r="D651" s="350"/>
      <c r="E651" s="298"/>
      <c r="F651" s="298"/>
    </row>
    <row r="652">
      <c r="C652" s="29"/>
      <c r="D652" s="350"/>
      <c r="E652" s="298"/>
      <c r="F652" s="298"/>
    </row>
    <row r="653">
      <c r="C653" s="29"/>
      <c r="D653" s="350"/>
      <c r="E653" s="298"/>
      <c r="F653" s="298"/>
    </row>
    <row r="654">
      <c r="C654" s="29"/>
      <c r="D654" s="350"/>
      <c r="E654" s="298"/>
      <c r="F654" s="298"/>
    </row>
    <row r="655">
      <c r="C655" s="29"/>
      <c r="D655" s="350"/>
      <c r="E655" s="298"/>
      <c r="F655" s="298"/>
    </row>
    <row r="656">
      <c r="C656" s="29"/>
      <c r="D656" s="350"/>
      <c r="E656" s="298"/>
      <c r="F656" s="298"/>
    </row>
    <row r="657">
      <c r="C657" s="29"/>
      <c r="D657" s="350"/>
      <c r="E657" s="298"/>
      <c r="F657" s="298"/>
    </row>
    <row r="658">
      <c r="C658" s="29"/>
      <c r="D658" s="350"/>
      <c r="E658" s="298"/>
      <c r="F658" s="298"/>
    </row>
    <row r="659">
      <c r="C659" s="29"/>
      <c r="D659" s="350"/>
      <c r="E659" s="298"/>
      <c r="F659" s="298"/>
    </row>
    <row r="660">
      <c r="C660" s="29"/>
      <c r="D660" s="350"/>
      <c r="E660" s="298"/>
      <c r="F660" s="298"/>
    </row>
    <row r="661">
      <c r="C661" s="29"/>
      <c r="D661" s="350"/>
      <c r="E661" s="298"/>
      <c r="F661" s="298"/>
    </row>
    <row r="662">
      <c r="C662" s="29"/>
      <c r="D662" s="350"/>
      <c r="E662" s="298"/>
      <c r="F662" s="298"/>
    </row>
    <row r="663">
      <c r="C663" s="29"/>
      <c r="D663" s="350"/>
      <c r="E663" s="298"/>
      <c r="F663" s="298"/>
    </row>
    <row r="664">
      <c r="C664" s="29"/>
      <c r="D664" s="350"/>
      <c r="E664" s="298"/>
      <c r="F664" s="298"/>
    </row>
    <row r="665">
      <c r="C665" s="29"/>
      <c r="D665" s="350"/>
      <c r="E665" s="298"/>
      <c r="F665" s="298"/>
    </row>
    <row r="666">
      <c r="C666" s="29"/>
      <c r="D666" s="350"/>
      <c r="E666" s="298"/>
      <c r="F666" s="298"/>
    </row>
    <row r="667">
      <c r="C667" s="29"/>
      <c r="D667" s="350"/>
      <c r="E667" s="298"/>
      <c r="F667" s="298"/>
    </row>
    <row r="668">
      <c r="C668" s="29"/>
      <c r="D668" s="350"/>
      <c r="E668" s="298"/>
      <c r="F668" s="298"/>
    </row>
    <row r="669">
      <c r="C669" s="29"/>
      <c r="D669" s="350"/>
      <c r="E669" s="298"/>
      <c r="F669" s="298"/>
    </row>
    <row r="670">
      <c r="C670" s="29"/>
      <c r="D670" s="350"/>
      <c r="E670" s="298"/>
      <c r="F670" s="298"/>
    </row>
    <row r="671">
      <c r="C671" s="29"/>
      <c r="D671" s="350"/>
      <c r="E671" s="298"/>
      <c r="F671" s="298"/>
    </row>
    <row r="672">
      <c r="C672" s="29"/>
      <c r="D672" s="350"/>
      <c r="E672" s="298"/>
      <c r="F672" s="298"/>
    </row>
    <row r="673">
      <c r="C673" s="29"/>
      <c r="D673" s="350"/>
      <c r="E673" s="298"/>
      <c r="F673" s="298"/>
    </row>
    <row r="674">
      <c r="C674" s="29"/>
      <c r="D674" s="350"/>
      <c r="E674" s="298"/>
      <c r="F674" s="298"/>
    </row>
    <row r="675">
      <c r="C675" s="29"/>
      <c r="D675" s="350"/>
      <c r="E675" s="298"/>
      <c r="F675" s="298"/>
    </row>
    <row r="676">
      <c r="C676" s="29"/>
      <c r="D676" s="350"/>
      <c r="E676" s="298"/>
      <c r="F676" s="298"/>
    </row>
    <row r="677">
      <c r="C677" s="29"/>
      <c r="D677" s="350"/>
      <c r="E677" s="298"/>
      <c r="F677" s="298"/>
    </row>
    <row r="678">
      <c r="C678" s="29"/>
      <c r="D678" s="350"/>
      <c r="E678" s="298"/>
      <c r="F678" s="298"/>
    </row>
    <row r="679">
      <c r="C679" s="29"/>
      <c r="D679" s="350"/>
      <c r="E679" s="298"/>
      <c r="F679" s="298"/>
    </row>
    <row r="680">
      <c r="C680" s="29"/>
      <c r="D680" s="350"/>
      <c r="E680" s="298"/>
      <c r="F680" s="298"/>
    </row>
    <row r="681">
      <c r="C681" s="29"/>
      <c r="D681" s="350"/>
      <c r="E681" s="298"/>
      <c r="F681" s="298"/>
    </row>
    <row r="682">
      <c r="C682" s="29"/>
      <c r="D682" s="350"/>
      <c r="E682" s="298"/>
      <c r="F682" s="298"/>
    </row>
    <row r="683">
      <c r="C683" s="29"/>
      <c r="D683" s="350"/>
      <c r="E683" s="298"/>
      <c r="F683" s="298"/>
    </row>
    <row r="684">
      <c r="C684" s="29"/>
      <c r="D684" s="350"/>
      <c r="E684" s="298"/>
      <c r="F684" s="298"/>
    </row>
    <row r="685">
      <c r="C685" s="29"/>
      <c r="D685" s="350"/>
      <c r="E685" s="298"/>
      <c r="F685" s="298"/>
    </row>
    <row r="686">
      <c r="C686" s="29"/>
      <c r="D686" s="350"/>
      <c r="E686" s="298"/>
      <c r="F686" s="298"/>
    </row>
    <row r="687">
      <c r="C687" s="29"/>
      <c r="D687" s="350"/>
      <c r="E687" s="298"/>
      <c r="F687" s="298"/>
    </row>
    <row r="688">
      <c r="C688" s="29"/>
      <c r="D688" s="350"/>
      <c r="E688" s="298"/>
      <c r="F688" s="298"/>
    </row>
    <row r="689">
      <c r="C689" s="29"/>
      <c r="D689" s="350"/>
      <c r="E689" s="298"/>
      <c r="F689" s="298"/>
    </row>
    <row r="690">
      <c r="C690" s="29"/>
      <c r="D690" s="350"/>
      <c r="E690" s="298"/>
      <c r="F690" s="298"/>
    </row>
    <row r="691">
      <c r="C691" s="29"/>
      <c r="D691" s="350"/>
      <c r="E691" s="298"/>
      <c r="F691" s="298"/>
    </row>
    <row r="692">
      <c r="C692" s="29"/>
      <c r="D692" s="350"/>
      <c r="E692" s="298"/>
      <c r="F692" s="298"/>
    </row>
    <row r="693">
      <c r="C693" s="29"/>
      <c r="D693" s="350"/>
      <c r="E693" s="298"/>
      <c r="F693" s="298"/>
    </row>
    <row r="694">
      <c r="C694" s="29"/>
      <c r="D694" s="350"/>
      <c r="E694" s="298"/>
      <c r="F694" s="298"/>
    </row>
    <row r="695">
      <c r="C695" s="29"/>
      <c r="D695" s="350"/>
      <c r="E695" s="298"/>
      <c r="F695" s="298"/>
    </row>
    <row r="696">
      <c r="C696" s="29"/>
      <c r="D696" s="350"/>
      <c r="E696" s="298"/>
      <c r="F696" s="298"/>
    </row>
    <row r="697">
      <c r="C697" s="29"/>
      <c r="D697" s="350"/>
      <c r="E697" s="298"/>
      <c r="F697" s="298"/>
    </row>
    <row r="698">
      <c r="C698" s="29"/>
      <c r="D698" s="350"/>
      <c r="E698" s="298"/>
      <c r="F698" s="298"/>
    </row>
    <row r="699">
      <c r="C699" s="29"/>
      <c r="D699" s="350"/>
      <c r="E699" s="298"/>
      <c r="F699" s="298"/>
    </row>
    <row r="700">
      <c r="C700" s="29"/>
      <c r="D700" s="350"/>
      <c r="E700" s="298"/>
      <c r="F700" s="298"/>
    </row>
    <row r="701">
      <c r="C701" s="29"/>
      <c r="D701" s="350"/>
      <c r="E701" s="298"/>
      <c r="F701" s="298"/>
    </row>
    <row r="702">
      <c r="C702" s="29"/>
      <c r="D702" s="350"/>
      <c r="E702" s="298"/>
      <c r="F702" s="298"/>
    </row>
    <row r="703">
      <c r="C703" s="29"/>
      <c r="D703" s="350"/>
      <c r="E703" s="298"/>
      <c r="F703" s="298"/>
    </row>
    <row r="704">
      <c r="C704" s="29"/>
      <c r="D704" s="350"/>
      <c r="E704" s="298"/>
      <c r="F704" s="298"/>
    </row>
    <row r="705">
      <c r="C705" s="29"/>
      <c r="D705" s="350"/>
      <c r="E705" s="298"/>
      <c r="F705" s="298"/>
    </row>
    <row r="706">
      <c r="C706" s="29"/>
      <c r="D706" s="350"/>
      <c r="E706" s="298"/>
      <c r="F706" s="298"/>
    </row>
    <row r="707">
      <c r="C707" s="29"/>
      <c r="D707" s="350"/>
      <c r="E707" s="298"/>
      <c r="F707" s="298"/>
    </row>
    <row r="708">
      <c r="C708" s="29"/>
      <c r="D708" s="350"/>
      <c r="E708" s="298"/>
      <c r="F708" s="298"/>
    </row>
    <row r="709">
      <c r="C709" s="29"/>
      <c r="D709" s="350"/>
      <c r="E709" s="298"/>
      <c r="F709" s="298"/>
    </row>
    <row r="710">
      <c r="C710" s="29"/>
      <c r="D710" s="350"/>
      <c r="E710" s="298"/>
      <c r="F710" s="298"/>
    </row>
    <row r="711">
      <c r="C711" s="29"/>
      <c r="D711" s="350"/>
      <c r="E711" s="298"/>
      <c r="F711" s="298"/>
    </row>
    <row r="712">
      <c r="C712" s="29"/>
      <c r="D712" s="350"/>
      <c r="E712" s="298"/>
      <c r="F712" s="298"/>
    </row>
    <row r="713">
      <c r="C713" s="29"/>
      <c r="D713" s="350"/>
      <c r="E713" s="298"/>
      <c r="F713" s="298"/>
    </row>
    <row r="714">
      <c r="C714" s="29"/>
      <c r="D714" s="350"/>
      <c r="E714" s="298"/>
      <c r="F714" s="298"/>
    </row>
    <row r="715">
      <c r="C715" s="29"/>
      <c r="D715" s="350"/>
      <c r="E715" s="298"/>
      <c r="F715" s="298"/>
    </row>
    <row r="716">
      <c r="C716" s="29"/>
      <c r="D716" s="350"/>
      <c r="E716" s="298"/>
      <c r="F716" s="298"/>
    </row>
    <row r="717">
      <c r="C717" s="29"/>
      <c r="D717" s="350"/>
      <c r="E717" s="298"/>
      <c r="F717" s="298"/>
    </row>
    <row r="718">
      <c r="C718" s="29"/>
      <c r="D718" s="350"/>
      <c r="E718" s="298"/>
      <c r="F718" s="298"/>
    </row>
    <row r="719">
      <c r="C719" s="29"/>
      <c r="D719" s="350"/>
      <c r="E719" s="298"/>
      <c r="F719" s="298"/>
    </row>
    <row r="720">
      <c r="C720" s="29"/>
      <c r="D720" s="350"/>
      <c r="E720" s="298"/>
      <c r="F720" s="298"/>
    </row>
    <row r="721">
      <c r="C721" s="29"/>
      <c r="D721" s="350"/>
      <c r="E721" s="298"/>
      <c r="F721" s="298"/>
    </row>
    <row r="722">
      <c r="C722" s="29"/>
      <c r="D722" s="350"/>
      <c r="E722" s="298"/>
      <c r="F722" s="298"/>
    </row>
    <row r="723">
      <c r="C723" s="29"/>
      <c r="D723" s="350"/>
      <c r="E723" s="298"/>
      <c r="F723" s="298"/>
    </row>
    <row r="724">
      <c r="C724" s="29"/>
      <c r="D724" s="350"/>
      <c r="E724" s="298"/>
      <c r="F724" s="298"/>
    </row>
    <row r="725">
      <c r="C725" s="29"/>
      <c r="D725" s="350"/>
      <c r="E725" s="298"/>
      <c r="F725" s="298"/>
    </row>
    <row r="726">
      <c r="C726" s="29"/>
      <c r="D726" s="350"/>
      <c r="E726" s="298"/>
      <c r="F726" s="298"/>
    </row>
    <row r="727">
      <c r="C727" s="29"/>
      <c r="D727" s="350"/>
      <c r="E727" s="298"/>
      <c r="F727" s="298"/>
    </row>
    <row r="728">
      <c r="C728" s="29"/>
      <c r="D728" s="350"/>
      <c r="E728" s="298"/>
      <c r="F728" s="298"/>
    </row>
    <row r="729">
      <c r="C729" s="29"/>
      <c r="D729" s="350"/>
      <c r="E729" s="298"/>
      <c r="F729" s="298"/>
    </row>
    <row r="730">
      <c r="C730" s="29"/>
      <c r="D730" s="350"/>
      <c r="E730" s="298"/>
      <c r="F730" s="298"/>
    </row>
    <row r="731">
      <c r="C731" s="29"/>
      <c r="D731" s="350"/>
      <c r="E731" s="298"/>
      <c r="F731" s="298"/>
    </row>
    <row r="732">
      <c r="C732" s="29"/>
      <c r="D732" s="350"/>
      <c r="E732" s="298"/>
      <c r="F732" s="298"/>
    </row>
    <row r="733">
      <c r="C733" s="29"/>
      <c r="D733" s="350"/>
      <c r="E733" s="298"/>
      <c r="F733" s="298"/>
    </row>
    <row r="734">
      <c r="C734" s="29"/>
      <c r="D734" s="350"/>
      <c r="E734" s="298"/>
      <c r="F734" s="298"/>
    </row>
    <row r="735">
      <c r="C735" s="29"/>
      <c r="D735" s="350"/>
      <c r="E735" s="298"/>
      <c r="F735" s="298"/>
    </row>
    <row r="736">
      <c r="C736" s="29"/>
      <c r="D736" s="350"/>
      <c r="E736" s="298"/>
      <c r="F736" s="298"/>
    </row>
    <row r="737">
      <c r="C737" s="29"/>
      <c r="D737" s="350"/>
      <c r="E737" s="298"/>
      <c r="F737" s="298"/>
    </row>
    <row r="738">
      <c r="C738" s="29"/>
      <c r="D738" s="350"/>
      <c r="E738" s="298"/>
      <c r="F738" s="298"/>
    </row>
    <row r="739">
      <c r="C739" s="29"/>
      <c r="D739" s="350"/>
      <c r="E739" s="298"/>
      <c r="F739" s="298"/>
    </row>
    <row r="740">
      <c r="C740" s="29"/>
      <c r="D740" s="350"/>
      <c r="E740" s="298"/>
      <c r="F740" s="298"/>
    </row>
    <row r="741">
      <c r="C741" s="29"/>
      <c r="D741" s="350"/>
      <c r="E741" s="298"/>
      <c r="F741" s="298"/>
    </row>
    <row r="742">
      <c r="C742" s="29"/>
      <c r="D742" s="350"/>
      <c r="E742" s="298"/>
      <c r="F742" s="298"/>
    </row>
    <row r="743">
      <c r="C743" s="29"/>
      <c r="D743" s="350"/>
      <c r="E743" s="298"/>
      <c r="F743" s="298"/>
    </row>
    <row r="744">
      <c r="C744" s="29"/>
      <c r="D744" s="350"/>
      <c r="E744" s="298"/>
      <c r="F744" s="298"/>
    </row>
    <row r="745">
      <c r="C745" s="29"/>
      <c r="D745" s="350"/>
      <c r="E745" s="298"/>
      <c r="F745" s="298"/>
    </row>
    <row r="746">
      <c r="C746" s="29"/>
      <c r="D746" s="350"/>
      <c r="E746" s="298"/>
      <c r="F746" s="298"/>
    </row>
    <row r="747">
      <c r="C747" s="29"/>
      <c r="D747" s="350"/>
      <c r="E747" s="298"/>
      <c r="F747" s="298"/>
    </row>
    <row r="748">
      <c r="C748" s="29"/>
      <c r="D748" s="350"/>
      <c r="E748" s="298"/>
      <c r="F748" s="298"/>
    </row>
    <row r="749">
      <c r="C749" s="29"/>
      <c r="D749" s="350"/>
      <c r="E749" s="298"/>
      <c r="F749" s="298"/>
    </row>
    <row r="750">
      <c r="C750" s="29"/>
      <c r="D750" s="350"/>
      <c r="E750" s="298"/>
      <c r="F750" s="298"/>
    </row>
    <row r="751">
      <c r="C751" s="29"/>
      <c r="D751" s="350"/>
      <c r="E751" s="298"/>
      <c r="F751" s="298"/>
    </row>
    <row r="752">
      <c r="C752" s="29"/>
      <c r="D752" s="350"/>
      <c r="E752" s="298"/>
      <c r="F752" s="298"/>
    </row>
    <row r="753">
      <c r="C753" s="29"/>
      <c r="D753" s="350"/>
      <c r="E753" s="298"/>
      <c r="F753" s="298"/>
    </row>
    <row r="754">
      <c r="C754" s="29"/>
      <c r="D754" s="350"/>
      <c r="E754" s="298"/>
      <c r="F754" s="298"/>
    </row>
    <row r="755">
      <c r="C755" s="29"/>
      <c r="D755" s="350"/>
      <c r="E755" s="298"/>
      <c r="F755" s="298"/>
    </row>
    <row r="756">
      <c r="C756" s="29"/>
      <c r="D756" s="350"/>
      <c r="E756" s="298"/>
      <c r="F756" s="298"/>
    </row>
    <row r="757">
      <c r="C757" s="29"/>
      <c r="D757" s="350"/>
      <c r="E757" s="298"/>
      <c r="F757" s="298"/>
    </row>
    <row r="758">
      <c r="C758" s="29"/>
      <c r="D758" s="350"/>
      <c r="E758" s="298"/>
      <c r="F758" s="298"/>
    </row>
    <row r="759">
      <c r="C759" s="29"/>
      <c r="D759" s="350"/>
      <c r="E759" s="298"/>
      <c r="F759" s="298"/>
    </row>
    <row r="760">
      <c r="C760" s="29"/>
      <c r="D760" s="350"/>
      <c r="E760" s="298"/>
      <c r="F760" s="298"/>
    </row>
    <row r="761">
      <c r="C761" s="29"/>
      <c r="D761" s="350"/>
      <c r="E761" s="298"/>
      <c r="F761" s="298"/>
    </row>
    <row r="762">
      <c r="C762" s="29"/>
      <c r="D762" s="350"/>
      <c r="E762" s="298"/>
      <c r="F762" s="298"/>
    </row>
    <row r="763">
      <c r="C763" s="29"/>
      <c r="D763" s="350"/>
      <c r="E763" s="298"/>
      <c r="F763" s="298"/>
    </row>
    <row r="764">
      <c r="C764" s="29"/>
      <c r="D764" s="350"/>
      <c r="E764" s="298"/>
      <c r="F764" s="298"/>
    </row>
    <row r="765">
      <c r="C765" s="29"/>
      <c r="D765" s="350"/>
      <c r="E765" s="298"/>
      <c r="F765" s="298"/>
    </row>
    <row r="766">
      <c r="C766" s="29"/>
      <c r="D766" s="350"/>
      <c r="E766" s="298"/>
      <c r="F766" s="298"/>
    </row>
    <row r="767">
      <c r="C767" s="29"/>
      <c r="D767" s="350"/>
      <c r="E767" s="298"/>
      <c r="F767" s="298"/>
    </row>
    <row r="768">
      <c r="C768" s="29"/>
      <c r="D768" s="350"/>
      <c r="E768" s="298"/>
      <c r="F768" s="298"/>
    </row>
    <row r="769">
      <c r="C769" s="29"/>
      <c r="D769" s="350"/>
      <c r="E769" s="298"/>
      <c r="F769" s="298"/>
    </row>
    <row r="770">
      <c r="C770" s="29"/>
      <c r="D770" s="350"/>
      <c r="E770" s="298"/>
      <c r="F770" s="298"/>
    </row>
    <row r="771">
      <c r="C771" s="29"/>
      <c r="D771" s="350"/>
      <c r="E771" s="298"/>
      <c r="F771" s="298"/>
    </row>
    <row r="772">
      <c r="C772" s="29"/>
      <c r="D772" s="350"/>
      <c r="E772" s="298"/>
      <c r="F772" s="298"/>
    </row>
    <row r="773">
      <c r="C773" s="29"/>
      <c r="D773" s="350"/>
      <c r="E773" s="298"/>
      <c r="F773" s="298"/>
    </row>
    <row r="774">
      <c r="C774" s="29"/>
      <c r="D774" s="350"/>
      <c r="E774" s="298"/>
      <c r="F774" s="298"/>
    </row>
    <row r="775">
      <c r="C775" s="29"/>
      <c r="D775" s="350"/>
      <c r="E775" s="298"/>
      <c r="F775" s="298"/>
    </row>
    <row r="776">
      <c r="C776" s="29"/>
      <c r="D776" s="350"/>
      <c r="E776" s="298"/>
      <c r="F776" s="298"/>
    </row>
    <row r="777">
      <c r="C777" s="29"/>
      <c r="D777" s="350"/>
      <c r="E777" s="298"/>
      <c r="F777" s="298"/>
    </row>
    <row r="778">
      <c r="C778" s="29"/>
      <c r="D778" s="350"/>
      <c r="E778" s="298"/>
      <c r="F778" s="298"/>
    </row>
    <row r="779">
      <c r="C779" s="29"/>
      <c r="D779" s="350"/>
      <c r="E779" s="298"/>
      <c r="F779" s="298"/>
    </row>
    <row r="780">
      <c r="C780" s="29"/>
      <c r="D780" s="350"/>
      <c r="E780" s="298"/>
      <c r="F780" s="298"/>
    </row>
    <row r="781">
      <c r="C781" s="29"/>
      <c r="D781" s="350"/>
      <c r="E781" s="298"/>
      <c r="F781" s="298"/>
    </row>
    <row r="782">
      <c r="C782" s="29"/>
      <c r="D782" s="350"/>
      <c r="E782" s="298"/>
      <c r="F782" s="298"/>
    </row>
    <row r="783">
      <c r="C783" s="29"/>
      <c r="D783" s="350"/>
      <c r="E783" s="298"/>
      <c r="F783" s="298"/>
    </row>
    <row r="784">
      <c r="C784" s="29"/>
      <c r="D784" s="350"/>
      <c r="E784" s="298"/>
      <c r="F784" s="298"/>
    </row>
    <row r="785">
      <c r="C785" s="29"/>
      <c r="D785" s="350"/>
      <c r="E785" s="298"/>
      <c r="F785" s="298"/>
    </row>
    <row r="786">
      <c r="C786" s="29"/>
      <c r="D786" s="350"/>
      <c r="E786" s="298"/>
      <c r="F786" s="298"/>
    </row>
    <row r="787">
      <c r="C787" s="29"/>
      <c r="D787" s="350"/>
      <c r="E787" s="298"/>
      <c r="F787" s="298"/>
    </row>
    <row r="788">
      <c r="C788" s="29"/>
      <c r="D788" s="350"/>
      <c r="E788" s="298"/>
      <c r="F788" s="298"/>
    </row>
    <row r="789">
      <c r="C789" s="29"/>
      <c r="D789" s="350"/>
      <c r="E789" s="298"/>
      <c r="F789" s="298"/>
    </row>
    <row r="790">
      <c r="C790" s="29"/>
      <c r="D790" s="350"/>
      <c r="E790" s="298"/>
      <c r="F790" s="298"/>
    </row>
    <row r="791">
      <c r="C791" s="29"/>
      <c r="D791" s="350"/>
      <c r="E791" s="298"/>
      <c r="F791" s="298"/>
    </row>
    <row r="792">
      <c r="C792" s="29"/>
      <c r="D792" s="350"/>
      <c r="E792" s="298"/>
      <c r="F792" s="298"/>
    </row>
    <row r="793">
      <c r="C793" s="29"/>
      <c r="D793" s="350"/>
      <c r="E793" s="298"/>
      <c r="F793" s="298"/>
    </row>
    <row r="794">
      <c r="C794" s="29"/>
      <c r="D794" s="350"/>
      <c r="E794" s="298"/>
      <c r="F794" s="298"/>
    </row>
    <row r="795">
      <c r="C795" s="29"/>
      <c r="D795" s="350"/>
      <c r="E795" s="298"/>
      <c r="F795" s="298"/>
    </row>
    <row r="796">
      <c r="C796" s="29"/>
      <c r="D796" s="350"/>
      <c r="E796" s="298"/>
      <c r="F796" s="298"/>
    </row>
    <row r="797">
      <c r="C797" s="29"/>
      <c r="D797" s="350"/>
      <c r="E797" s="298"/>
      <c r="F797" s="298"/>
    </row>
    <row r="798">
      <c r="C798" s="29"/>
      <c r="D798" s="350"/>
      <c r="E798" s="298"/>
      <c r="F798" s="298"/>
    </row>
    <row r="799">
      <c r="C799" s="29"/>
      <c r="D799" s="350"/>
      <c r="E799" s="298"/>
      <c r="F799" s="298"/>
    </row>
    <row r="800">
      <c r="C800" s="29"/>
      <c r="D800" s="350"/>
      <c r="E800" s="298"/>
      <c r="F800" s="298"/>
    </row>
    <row r="801">
      <c r="C801" s="29"/>
      <c r="D801" s="350"/>
      <c r="E801" s="298"/>
      <c r="F801" s="298"/>
    </row>
    <row r="802">
      <c r="C802" s="29"/>
      <c r="D802" s="350"/>
      <c r="E802" s="298"/>
      <c r="F802" s="298"/>
    </row>
    <row r="803">
      <c r="C803" s="29"/>
      <c r="D803" s="350"/>
      <c r="E803" s="298"/>
      <c r="F803" s="298"/>
    </row>
    <row r="804">
      <c r="C804" s="29"/>
      <c r="D804" s="350"/>
      <c r="E804" s="298"/>
      <c r="F804" s="298"/>
    </row>
    <row r="805">
      <c r="C805" s="29"/>
      <c r="D805" s="350"/>
      <c r="E805" s="298"/>
      <c r="F805" s="298"/>
    </row>
    <row r="806">
      <c r="C806" s="29"/>
      <c r="D806" s="350"/>
      <c r="E806" s="298"/>
      <c r="F806" s="298"/>
    </row>
    <row r="807">
      <c r="C807" s="29"/>
      <c r="D807" s="350"/>
      <c r="E807" s="298"/>
      <c r="F807" s="298"/>
    </row>
    <row r="808">
      <c r="C808" s="29"/>
      <c r="D808" s="350"/>
      <c r="E808" s="298"/>
      <c r="F808" s="298"/>
    </row>
    <row r="809">
      <c r="C809" s="29"/>
      <c r="D809" s="350"/>
      <c r="E809" s="298"/>
      <c r="F809" s="298"/>
    </row>
    <row r="810">
      <c r="C810" s="29"/>
      <c r="D810" s="350"/>
      <c r="E810" s="298"/>
      <c r="F810" s="298"/>
    </row>
    <row r="811">
      <c r="C811" s="29"/>
      <c r="D811" s="350"/>
      <c r="E811" s="298"/>
      <c r="F811" s="298"/>
    </row>
    <row r="812">
      <c r="C812" s="29"/>
      <c r="D812" s="350"/>
      <c r="E812" s="298"/>
      <c r="F812" s="298"/>
    </row>
    <row r="813">
      <c r="C813" s="29"/>
      <c r="D813" s="350"/>
      <c r="E813" s="298"/>
      <c r="F813" s="298"/>
    </row>
    <row r="814">
      <c r="C814" s="29"/>
      <c r="D814" s="350"/>
      <c r="E814" s="298"/>
      <c r="F814" s="298"/>
    </row>
    <row r="815">
      <c r="C815" s="29"/>
      <c r="D815" s="350"/>
      <c r="E815" s="298"/>
      <c r="F815" s="298"/>
    </row>
    <row r="816">
      <c r="C816" s="29"/>
      <c r="D816" s="350"/>
      <c r="E816" s="298"/>
      <c r="F816" s="298"/>
    </row>
    <row r="817">
      <c r="C817" s="29"/>
      <c r="D817" s="350"/>
      <c r="E817" s="298"/>
      <c r="F817" s="298"/>
    </row>
    <row r="818">
      <c r="C818" s="29"/>
      <c r="D818" s="350"/>
      <c r="E818" s="298"/>
      <c r="F818" s="298"/>
    </row>
    <row r="819">
      <c r="C819" s="29"/>
      <c r="D819" s="350"/>
      <c r="E819" s="298"/>
      <c r="F819" s="298"/>
    </row>
    <row r="820">
      <c r="C820" s="29"/>
      <c r="D820" s="350"/>
      <c r="E820" s="298"/>
      <c r="F820" s="298"/>
    </row>
    <row r="821">
      <c r="C821" s="29"/>
      <c r="D821" s="350"/>
      <c r="E821" s="298"/>
      <c r="F821" s="298"/>
    </row>
    <row r="822">
      <c r="C822" s="29"/>
      <c r="D822" s="350"/>
      <c r="E822" s="298"/>
      <c r="F822" s="298"/>
    </row>
    <row r="823">
      <c r="C823" s="29"/>
      <c r="D823" s="350"/>
      <c r="E823" s="298"/>
      <c r="F823" s="298"/>
    </row>
    <row r="824">
      <c r="C824" s="29"/>
      <c r="D824" s="350"/>
      <c r="E824" s="298"/>
      <c r="F824" s="298"/>
    </row>
    <row r="825">
      <c r="C825" s="29"/>
      <c r="D825" s="350"/>
      <c r="E825" s="298"/>
      <c r="F825" s="298"/>
    </row>
    <row r="826">
      <c r="C826" s="29"/>
      <c r="D826" s="350"/>
      <c r="E826" s="298"/>
      <c r="F826" s="298"/>
    </row>
    <row r="827">
      <c r="C827" s="29"/>
      <c r="D827" s="350"/>
      <c r="E827" s="298"/>
      <c r="F827" s="298"/>
    </row>
    <row r="828">
      <c r="C828" s="29"/>
      <c r="D828" s="350"/>
      <c r="E828" s="298"/>
      <c r="F828" s="298"/>
    </row>
    <row r="829">
      <c r="C829" s="29"/>
      <c r="D829" s="350"/>
      <c r="E829" s="298"/>
      <c r="F829" s="298"/>
    </row>
    <row r="830">
      <c r="C830" s="29"/>
      <c r="D830" s="350"/>
      <c r="E830" s="298"/>
      <c r="F830" s="298"/>
    </row>
    <row r="831">
      <c r="C831" s="29"/>
      <c r="D831" s="350"/>
      <c r="E831" s="298"/>
      <c r="F831" s="298"/>
    </row>
    <row r="832">
      <c r="C832" s="29"/>
      <c r="D832" s="350"/>
      <c r="E832" s="298"/>
      <c r="F832" s="298"/>
    </row>
    <row r="833">
      <c r="C833" s="29"/>
      <c r="D833" s="350"/>
      <c r="E833" s="298"/>
      <c r="F833" s="298"/>
    </row>
    <row r="834">
      <c r="C834" s="29"/>
      <c r="D834" s="350"/>
      <c r="E834" s="298"/>
      <c r="F834" s="298"/>
    </row>
    <row r="835">
      <c r="C835" s="29"/>
      <c r="D835" s="350"/>
      <c r="E835" s="298"/>
      <c r="F835" s="298"/>
    </row>
    <row r="836">
      <c r="C836" s="29"/>
      <c r="D836" s="350"/>
      <c r="E836" s="298"/>
      <c r="F836" s="298"/>
    </row>
    <row r="837">
      <c r="C837" s="29"/>
      <c r="D837" s="350"/>
      <c r="E837" s="298"/>
      <c r="F837" s="298"/>
    </row>
    <row r="838">
      <c r="C838" s="29"/>
      <c r="D838" s="350"/>
      <c r="E838" s="298"/>
      <c r="F838" s="298"/>
    </row>
    <row r="839">
      <c r="C839" s="29"/>
      <c r="D839" s="350"/>
      <c r="E839" s="298"/>
      <c r="F839" s="298"/>
    </row>
    <row r="840">
      <c r="C840" s="29"/>
      <c r="D840" s="350"/>
      <c r="E840" s="298"/>
      <c r="F840" s="298"/>
    </row>
    <row r="841">
      <c r="C841" s="29"/>
      <c r="D841" s="350"/>
      <c r="E841" s="298"/>
      <c r="F841" s="298"/>
    </row>
    <row r="842">
      <c r="C842" s="29"/>
      <c r="D842" s="350"/>
      <c r="E842" s="298"/>
      <c r="F842" s="298"/>
    </row>
    <row r="843">
      <c r="C843" s="29"/>
      <c r="D843" s="350"/>
      <c r="E843" s="298"/>
      <c r="F843" s="298"/>
    </row>
    <row r="844">
      <c r="C844" s="29"/>
      <c r="D844" s="350"/>
      <c r="E844" s="298"/>
      <c r="F844" s="298"/>
    </row>
    <row r="845">
      <c r="C845" s="29"/>
      <c r="D845" s="350"/>
      <c r="E845" s="298"/>
      <c r="F845" s="298"/>
    </row>
    <row r="846">
      <c r="C846" s="29"/>
      <c r="D846" s="350"/>
      <c r="E846" s="298"/>
      <c r="F846" s="298"/>
    </row>
    <row r="847">
      <c r="C847" s="29"/>
      <c r="D847" s="350"/>
      <c r="E847" s="298"/>
      <c r="F847" s="298"/>
    </row>
    <row r="848">
      <c r="C848" s="29"/>
      <c r="D848" s="350"/>
      <c r="E848" s="298"/>
      <c r="F848" s="298"/>
    </row>
    <row r="849">
      <c r="C849" s="29"/>
      <c r="D849" s="350"/>
      <c r="E849" s="298"/>
      <c r="F849" s="298"/>
    </row>
    <row r="850">
      <c r="C850" s="29"/>
      <c r="D850" s="350"/>
      <c r="E850" s="298"/>
      <c r="F850" s="298"/>
    </row>
    <row r="851">
      <c r="C851" s="29"/>
      <c r="D851" s="350"/>
      <c r="E851" s="298"/>
      <c r="F851" s="298"/>
    </row>
    <row r="852">
      <c r="C852" s="29"/>
      <c r="D852" s="350"/>
      <c r="E852" s="298"/>
      <c r="F852" s="298"/>
    </row>
    <row r="853">
      <c r="C853" s="29"/>
      <c r="D853" s="350"/>
      <c r="E853" s="298"/>
      <c r="F853" s="298"/>
    </row>
    <row r="854">
      <c r="C854" s="29"/>
      <c r="D854" s="350"/>
      <c r="E854" s="298"/>
      <c r="F854" s="298"/>
    </row>
    <row r="855">
      <c r="C855" s="29"/>
      <c r="D855" s="350"/>
      <c r="E855" s="298"/>
      <c r="F855" s="298"/>
    </row>
    <row r="856">
      <c r="C856" s="29"/>
      <c r="D856" s="350"/>
      <c r="E856" s="298"/>
      <c r="F856" s="298"/>
    </row>
    <row r="857">
      <c r="C857" s="29"/>
      <c r="D857" s="350"/>
      <c r="E857" s="298"/>
      <c r="F857" s="298"/>
    </row>
    <row r="858">
      <c r="C858" s="29"/>
      <c r="D858" s="350"/>
      <c r="E858" s="298"/>
      <c r="F858" s="298"/>
    </row>
    <row r="859">
      <c r="C859" s="29"/>
      <c r="D859" s="350"/>
      <c r="E859" s="298"/>
      <c r="F859" s="298"/>
    </row>
    <row r="860">
      <c r="C860" s="29"/>
      <c r="D860" s="350"/>
      <c r="E860" s="298"/>
      <c r="F860" s="298"/>
    </row>
    <row r="861">
      <c r="C861" s="29"/>
      <c r="D861" s="350"/>
      <c r="E861" s="298"/>
      <c r="F861" s="298"/>
    </row>
    <row r="862">
      <c r="C862" s="29"/>
      <c r="D862" s="350"/>
      <c r="E862" s="298"/>
      <c r="F862" s="298"/>
    </row>
    <row r="863">
      <c r="C863" s="29"/>
      <c r="D863" s="350"/>
      <c r="E863" s="298"/>
      <c r="F863" s="298"/>
    </row>
    <row r="864">
      <c r="C864" s="29"/>
      <c r="D864" s="350"/>
      <c r="E864" s="298"/>
      <c r="F864" s="298"/>
    </row>
    <row r="865">
      <c r="C865" s="29"/>
      <c r="D865" s="350"/>
      <c r="E865" s="298"/>
      <c r="F865" s="298"/>
    </row>
    <row r="866">
      <c r="C866" s="29"/>
      <c r="D866" s="350"/>
      <c r="E866" s="298"/>
      <c r="F866" s="298"/>
    </row>
    <row r="867">
      <c r="C867" s="29"/>
      <c r="D867" s="350"/>
      <c r="E867" s="298"/>
      <c r="F867" s="298"/>
    </row>
    <row r="868">
      <c r="C868" s="29"/>
      <c r="D868" s="350"/>
      <c r="E868" s="298"/>
      <c r="F868" s="298"/>
    </row>
    <row r="869">
      <c r="C869" s="29"/>
      <c r="D869" s="350"/>
      <c r="E869" s="298"/>
      <c r="F869" s="298"/>
    </row>
    <row r="870">
      <c r="C870" s="29"/>
      <c r="D870" s="350"/>
      <c r="E870" s="298"/>
      <c r="F870" s="298"/>
    </row>
    <row r="871">
      <c r="C871" s="29"/>
      <c r="D871" s="350"/>
      <c r="E871" s="298"/>
      <c r="F871" s="298"/>
    </row>
    <row r="872">
      <c r="C872" s="29"/>
      <c r="D872" s="350"/>
      <c r="E872" s="298"/>
      <c r="F872" s="298"/>
    </row>
    <row r="873">
      <c r="C873" s="29"/>
      <c r="D873" s="350"/>
      <c r="E873" s="298"/>
      <c r="F873" s="298"/>
    </row>
    <row r="874">
      <c r="C874" s="29"/>
      <c r="D874" s="350"/>
      <c r="E874" s="298"/>
      <c r="F874" s="298"/>
    </row>
    <row r="875">
      <c r="C875" s="29"/>
      <c r="D875" s="350"/>
      <c r="E875" s="298"/>
      <c r="F875" s="298"/>
    </row>
    <row r="876">
      <c r="C876" s="29"/>
      <c r="D876" s="350"/>
      <c r="E876" s="298"/>
      <c r="F876" s="298"/>
    </row>
    <row r="877">
      <c r="C877" s="29"/>
      <c r="D877" s="350"/>
      <c r="E877" s="298"/>
      <c r="F877" s="298"/>
    </row>
    <row r="878">
      <c r="C878" s="29"/>
      <c r="D878" s="350"/>
      <c r="E878" s="298"/>
      <c r="F878" s="298"/>
    </row>
    <row r="879">
      <c r="C879" s="29"/>
      <c r="D879" s="350"/>
      <c r="E879" s="298"/>
      <c r="F879" s="298"/>
    </row>
    <row r="880">
      <c r="C880" s="29"/>
      <c r="D880" s="350"/>
      <c r="E880" s="298"/>
      <c r="F880" s="298"/>
    </row>
    <row r="881">
      <c r="C881" s="29"/>
      <c r="D881" s="350"/>
      <c r="E881" s="298"/>
      <c r="F881" s="298"/>
    </row>
    <row r="882">
      <c r="C882" s="29"/>
      <c r="D882" s="350"/>
      <c r="E882" s="298"/>
      <c r="F882" s="298"/>
    </row>
    <row r="883">
      <c r="C883" s="29"/>
      <c r="D883" s="350"/>
      <c r="E883" s="298"/>
      <c r="F883" s="298"/>
    </row>
    <row r="884">
      <c r="C884" s="29"/>
      <c r="D884" s="350"/>
      <c r="E884" s="298"/>
      <c r="F884" s="298"/>
    </row>
    <row r="885">
      <c r="C885" s="29"/>
      <c r="D885" s="350"/>
      <c r="E885" s="298"/>
      <c r="F885" s="298"/>
    </row>
    <row r="886">
      <c r="C886" s="29"/>
      <c r="D886" s="350"/>
      <c r="E886" s="298"/>
      <c r="F886" s="298"/>
    </row>
    <row r="887">
      <c r="C887" s="29"/>
      <c r="D887" s="350"/>
      <c r="E887" s="298"/>
      <c r="F887" s="298"/>
    </row>
    <row r="888">
      <c r="C888" s="29"/>
      <c r="D888" s="350"/>
      <c r="E888" s="298"/>
      <c r="F888" s="298"/>
    </row>
    <row r="889">
      <c r="C889" s="29"/>
      <c r="D889" s="350"/>
      <c r="E889" s="298"/>
      <c r="F889" s="298"/>
    </row>
    <row r="890">
      <c r="C890" s="29"/>
      <c r="D890" s="350"/>
      <c r="E890" s="298"/>
      <c r="F890" s="298"/>
    </row>
    <row r="891">
      <c r="C891" s="29"/>
      <c r="D891" s="350"/>
      <c r="E891" s="298"/>
      <c r="F891" s="298"/>
    </row>
    <row r="892">
      <c r="C892" s="29"/>
      <c r="D892" s="350"/>
      <c r="E892" s="298"/>
      <c r="F892" s="298"/>
    </row>
    <row r="893">
      <c r="C893" s="29"/>
      <c r="D893" s="350"/>
      <c r="E893" s="298"/>
      <c r="F893" s="298"/>
    </row>
    <row r="894">
      <c r="C894" s="29"/>
      <c r="D894" s="350"/>
      <c r="E894" s="298"/>
      <c r="F894" s="298"/>
    </row>
    <row r="895">
      <c r="C895" s="29"/>
      <c r="D895" s="350"/>
      <c r="E895" s="298"/>
      <c r="F895" s="298"/>
    </row>
    <row r="896">
      <c r="C896" s="29"/>
      <c r="D896" s="350"/>
      <c r="E896" s="298"/>
      <c r="F896" s="298"/>
    </row>
    <row r="897">
      <c r="C897" s="29"/>
      <c r="D897" s="350"/>
      <c r="E897" s="298"/>
      <c r="F897" s="298"/>
    </row>
    <row r="898">
      <c r="C898" s="29"/>
      <c r="D898" s="350"/>
      <c r="E898" s="298"/>
      <c r="F898" s="298"/>
    </row>
    <row r="899">
      <c r="C899" s="29"/>
      <c r="D899" s="350"/>
      <c r="E899" s="298"/>
      <c r="F899" s="298"/>
    </row>
    <row r="900">
      <c r="C900" s="29"/>
      <c r="D900" s="350"/>
      <c r="E900" s="298"/>
      <c r="F900" s="298"/>
    </row>
    <row r="901">
      <c r="C901" s="29"/>
      <c r="D901" s="350"/>
      <c r="E901" s="298"/>
      <c r="F901" s="298"/>
    </row>
    <row r="902">
      <c r="C902" s="29"/>
      <c r="D902" s="350"/>
      <c r="E902" s="298"/>
      <c r="F902" s="298"/>
    </row>
    <row r="903">
      <c r="C903" s="29"/>
      <c r="D903" s="350"/>
      <c r="E903" s="298"/>
      <c r="F903" s="298"/>
    </row>
    <row r="904">
      <c r="C904" s="29"/>
      <c r="D904" s="350"/>
      <c r="E904" s="298"/>
      <c r="F904" s="298"/>
    </row>
    <row r="905">
      <c r="C905" s="29"/>
      <c r="D905" s="350"/>
      <c r="E905" s="298"/>
      <c r="F905" s="298"/>
    </row>
    <row r="906">
      <c r="C906" s="29"/>
      <c r="D906" s="350"/>
      <c r="E906" s="298"/>
      <c r="F906" s="298"/>
    </row>
    <row r="907">
      <c r="C907" s="29"/>
      <c r="D907" s="350"/>
      <c r="E907" s="298"/>
      <c r="F907" s="298"/>
    </row>
    <row r="908">
      <c r="C908" s="29"/>
      <c r="D908" s="350"/>
      <c r="E908" s="298"/>
      <c r="F908" s="298"/>
    </row>
    <row r="909">
      <c r="C909" s="29"/>
      <c r="D909" s="350"/>
      <c r="E909" s="298"/>
      <c r="F909" s="298"/>
    </row>
    <row r="910">
      <c r="C910" s="29"/>
      <c r="D910" s="350"/>
      <c r="E910" s="298"/>
      <c r="F910" s="298"/>
    </row>
    <row r="911">
      <c r="C911" s="29"/>
      <c r="D911" s="350"/>
      <c r="E911" s="298"/>
      <c r="F911" s="298"/>
    </row>
    <row r="912">
      <c r="C912" s="29"/>
      <c r="D912" s="350"/>
      <c r="E912" s="298"/>
      <c r="F912" s="298"/>
    </row>
    <row r="913">
      <c r="C913" s="29"/>
      <c r="D913" s="350"/>
      <c r="E913" s="298"/>
      <c r="F913" s="298"/>
    </row>
    <row r="914">
      <c r="C914" s="29"/>
      <c r="D914" s="350"/>
      <c r="E914" s="298"/>
      <c r="F914" s="298"/>
    </row>
    <row r="915">
      <c r="C915" s="29"/>
      <c r="D915" s="350"/>
      <c r="E915" s="298"/>
      <c r="F915" s="298"/>
    </row>
    <row r="916">
      <c r="C916" s="29"/>
      <c r="D916" s="350"/>
      <c r="E916" s="298"/>
      <c r="F916" s="298"/>
    </row>
    <row r="917">
      <c r="C917" s="29"/>
      <c r="D917" s="350"/>
      <c r="E917" s="298"/>
      <c r="F917" s="298"/>
    </row>
    <row r="918">
      <c r="C918" s="29"/>
      <c r="D918" s="350"/>
      <c r="E918" s="298"/>
      <c r="F918" s="298"/>
    </row>
    <row r="919">
      <c r="C919" s="29"/>
      <c r="D919" s="350"/>
      <c r="E919" s="298"/>
      <c r="F919" s="298"/>
    </row>
    <row r="920">
      <c r="C920" s="29"/>
      <c r="D920" s="350"/>
      <c r="E920" s="298"/>
      <c r="F920" s="298"/>
    </row>
    <row r="921">
      <c r="C921" s="29"/>
      <c r="D921" s="350"/>
      <c r="E921" s="298"/>
      <c r="F921" s="298"/>
    </row>
    <row r="922">
      <c r="C922" s="29"/>
      <c r="D922" s="350"/>
      <c r="E922" s="298"/>
      <c r="F922" s="298"/>
    </row>
    <row r="923">
      <c r="C923" s="29"/>
      <c r="D923" s="350"/>
      <c r="E923" s="298"/>
      <c r="F923" s="298"/>
    </row>
    <row r="924">
      <c r="C924" s="29"/>
      <c r="D924" s="350"/>
      <c r="E924" s="298"/>
      <c r="F924" s="298"/>
    </row>
    <row r="925">
      <c r="C925" s="29"/>
      <c r="D925" s="350"/>
      <c r="E925" s="298"/>
      <c r="F925" s="298"/>
    </row>
    <row r="926">
      <c r="C926" s="29"/>
      <c r="D926" s="350"/>
      <c r="E926" s="298"/>
      <c r="F926" s="298"/>
    </row>
    <row r="927">
      <c r="C927" s="29"/>
      <c r="D927" s="350"/>
      <c r="E927" s="298"/>
      <c r="F927" s="298"/>
    </row>
    <row r="928">
      <c r="C928" s="29"/>
      <c r="D928" s="350"/>
      <c r="E928" s="298"/>
      <c r="F928" s="298"/>
    </row>
    <row r="929">
      <c r="C929" s="29"/>
      <c r="D929" s="350"/>
      <c r="E929" s="298"/>
      <c r="F929" s="298"/>
    </row>
    <row r="930">
      <c r="C930" s="29"/>
      <c r="D930" s="350"/>
      <c r="E930" s="298"/>
      <c r="F930" s="298"/>
    </row>
    <row r="931">
      <c r="C931" s="29"/>
      <c r="D931" s="350"/>
      <c r="E931" s="298"/>
      <c r="F931" s="298"/>
    </row>
    <row r="932">
      <c r="C932" s="29"/>
      <c r="D932" s="350"/>
      <c r="E932" s="298"/>
      <c r="F932" s="298"/>
    </row>
    <row r="933">
      <c r="C933" s="29"/>
      <c r="D933" s="350"/>
      <c r="E933" s="298"/>
      <c r="F933" s="298"/>
    </row>
    <row r="934">
      <c r="C934" s="29"/>
      <c r="D934" s="350"/>
      <c r="E934" s="298"/>
      <c r="F934" s="298"/>
    </row>
    <row r="935">
      <c r="C935" s="29"/>
      <c r="D935" s="350"/>
      <c r="E935" s="298"/>
      <c r="F935" s="298"/>
    </row>
    <row r="936">
      <c r="C936" s="29"/>
      <c r="D936" s="350"/>
      <c r="E936" s="298"/>
      <c r="F936" s="298"/>
    </row>
    <row r="937">
      <c r="C937" s="29"/>
      <c r="D937" s="350"/>
      <c r="E937" s="298"/>
      <c r="F937" s="298"/>
    </row>
    <row r="938">
      <c r="C938" s="29"/>
      <c r="D938" s="350"/>
      <c r="E938" s="298"/>
      <c r="F938" s="298"/>
    </row>
    <row r="939">
      <c r="C939" s="29"/>
      <c r="D939" s="350"/>
      <c r="E939" s="298"/>
      <c r="F939" s="298"/>
    </row>
    <row r="940">
      <c r="C940" s="29"/>
      <c r="D940" s="350"/>
      <c r="E940" s="298"/>
      <c r="F940" s="298"/>
    </row>
    <row r="941">
      <c r="C941" s="29"/>
      <c r="D941" s="350"/>
      <c r="E941" s="298"/>
      <c r="F941" s="298"/>
    </row>
    <row r="942">
      <c r="C942" s="29"/>
      <c r="D942" s="350"/>
      <c r="E942" s="298"/>
      <c r="F942" s="298"/>
    </row>
    <row r="943">
      <c r="C943" s="29"/>
      <c r="D943" s="350"/>
      <c r="E943" s="298"/>
      <c r="F943" s="298"/>
    </row>
    <row r="944">
      <c r="C944" s="29"/>
      <c r="D944" s="350"/>
      <c r="E944" s="298"/>
      <c r="F944" s="298"/>
    </row>
    <row r="945">
      <c r="C945" s="29"/>
      <c r="D945" s="350"/>
      <c r="E945" s="298"/>
      <c r="F945" s="298"/>
    </row>
    <row r="946">
      <c r="C946" s="29"/>
      <c r="D946" s="350"/>
      <c r="E946" s="298"/>
      <c r="F946" s="298"/>
    </row>
    <row r="947">
      <c r="C947" s="29"/>
      <c r="D947" s="350"/>
      <c r="E947" s="298"/>
      <c r="F947" s="298"/>
    </row>
    <row r="948">
      <c r="C948" s="29"/>
      <c r="D948" s="350"/>
      <c r="E948" s="298"/>
      <c r="F948" s="298"/>
    </row>
    <row r="949">
      <c r="C949" s="29"/>
      <c r="D949" s="350"/>
      <c r="E949" s="298"/>
      <c r="F949" s="298"/>
    </row>
    <row r="950">
      <c r="C950" s="29"/>
      <c r="D950" s="350"/>
      <c r="E950" s="298"/>
      <c r="F950" s="298"/>
    </row>
    <row r="951">
      <c r="C951" s="29"/>
      <c r="D951" s="350"/>
      <c r="E951" s="298"/>
      <c r="F951" s="298"/>
    </row>
    <row r="952">
      <c r="C952" s="29"/>
      <c r="D952" s="350"/>
      <c r="E952" s="298"/>
      <c r="F952" s="298"/>
    </row>
    <row r="953">
      <c r="C953" s="29"/>
      <c r="D953" s="350"/>
      <c r="E953" s="298"/>
      <c r="F953" s="298"/>
    </row>
    <row r="954">
      <c r="C954" s="29"/>
      <c r="D954" s="350"/>
      <c r="E954" s="298"/>
      <c r="F954" s="298"/>
    </row>
    <row r="955">
      <c r="C955" s="29"/>
      <c r="D955" s="350"/>
      <c r="E955" s="298"/>
      <c r="F955" s="298"/>
    </row>
    <row r="956">
      <c r="C956" s="29"/>
      <c r="D956" s="350"/>
      <c r="E956" s="298"/>
      <c r="F956" s="298"/>
    </row>
    <row r="957">
      <c r="C957" s="29"/>
      <c r="D957" s="350"/>
      <c r="E957" s="298"/>
      <c r="F957" s="298"/>
    </row>
    <row r="958">
      <c r="C958" s="29"/>
      <c r="D958" s="350"/>
      <c r="E958" s="298"/>
      <c r="F958" s="298"/>
    </row>
    <row r="959">
      <c r="C959" s="29"/>
      <c r="D959" s="350"/>
      <c r="E959" s="298"/>
      <c r="F959" s="298"/>
    </row>
    <row r="960">
      <c r="C960" s="29"/>
      <c r="D960" s="350"/>
      <c r="E960" s="298"/>
      <c r="F960" s="298"/>
    </row>
    <row r="961">
      <c r="C961" s="29"/>
      <c r="D961" s="350"/>
      <c r="E961" s="298"/>
      <c r="F961" s="298"/>
    </row>
    <row r="962">
      <c r="C962" s="29"/>
      <c r="D962" s="350"/>
      <c r="E962" s="298"/>
      <c r="F962" s="298"/>
    </row>
    <row r="963">
      <c r="C963" s="29"/>
      <c r="D963" s="350"/>
      <c r="E963" s="298"/>
      <c r="F963" s="298"/>
    </row>
    <row r="964">
      <c r="C964" s="29"/>
      <c r="D964" s="350"/>
      <c r="E964" s="298"/>
      <c r="F964" s="298"/>
    </row>
    <row r="965">
      <c r="C965" s="29"/>
      <c r="D965" s="350"/>
      <c r="E965" s="298"/>
      <c r="F965" s="298"/>
    </row>
    <row r="966">
      <c r="C966" s="29"/>
      <c r="D966" s="350"/>
      <c r="E966" s="298"/>
      <c r="F966" s="298"/>
    </row>
    <row r="967">
      <c r="C967" s="29"/>
      <c r="D967" s="350"/>
      <c r="E967" s="298"/>
      <c r="F967" s="298"/>
    </row>
    <row r="968">
      <c r="C968" s="29"/>
      <c r="D968" s="350"/>
      <c r="E968" s="298"/>
      <c r="F968" s="298"/>
    </row>
    <row r="969">
      <c r="C969" s="29"/>
      <c r="D969" s="350"/>
      <c r="E969" s="298"/>
      <c r="F969" s="298"/>
    </row>
    <row r="970">
      <c r="C970" s="29"/>
      <c r="D970" s="350"/>
      <c r="E970" s="298"/>
      <c r="F970" s="298"/>
    </row>
    <row r="971">
      <c r="C971" s="29"/>
      <c r="D971" s="350"/>
      <c r="E971" s="298"/>
      <c r="F971" s="298"/>
    </row>
    <row r="972">
      <c r="C972" s="29"/>
      <c r="D972" s="350"/>
      <c r="E972" s="298"/>
      <c r="F972" s="298"/>
    </row>
    <row r="973">
      <c r="C973" s="29"/>
      <c r="D973" s="350"/>
      <c r="E973" s="298"/>
      <c r="F973" s="298"/>
    </row>
    <row r="974">
      <c r="C974" s="29"/>
      <c r="D974" s="350"/>
      <c r="E974" s="298"/>
      <c r="F974" s="298"/>
    </row>
    <row r="975">
      <c r="C975" s="29"/>
      <c r="D975" s="350"/>
      <c r="E975" s="298"/>
      <c r="F975" s="298"/>
    </row>
    <row r="976">
      <c r="C976" s="29"/>
      <c r="D976" s="350"/>
      <c r="E976" s="298"/>
      <c r="F976" s="298"/>
    </row>
    <row r="977">
      <c r="C977" s="29"/>
      <c r="D977" s="350"/>
      <c r="E977" s="298"/>
      <c r="F977" s="298"/>
    </row>
    <row r="978">
      <c r="C978" s="29"/>
      <c r="D978" s="350"/>
      <c r="E978" s="298"/>
      <c r="F978" s="298"/>
    </row>
    <row r="979">
      <c r="C979" s="29"/>
      <c r="D979" s="350"/>
      <c r="E979" s="298"/>
      <c r="F979" s="298"/>
    </row>
    <row r="980">
      <c r="C980" s="29"/>
      <c r="D980" s="350"/>
      <c r="E980" s="298"/>
      <c r="F980" s="298"/>
    </row>
    <row r="981">
      <c r="C981" s="29"/>
      <c r="D981" s="350"/>
      <c r="E981" s="298"/>
      <c r="F981" s="298"/>
    </row>
    <row r="982">
      <c r="C982" s="29"/>
      <c r="D982" s="350"/>
      <c r="E982" s="298"/>
      <c r="F982" s="298"/>
    </row>
    <row r="983">
      <c r="C983" s="29"/>
      <c r="D983" s="350"/>
      <c r="E983" s="298"/>
      <c r="F983" s="298"/>
    </row>
    <row r="984">
      <c r="C984" s="29"/>
      <c r="D984" s="350"/>
      <c r="E984" s="298"/>
      <c r="F984" s="298"/>
    </row>
    <row r="985">
      <c r="C985" s="29"/>
      <c r="D985" s="350"/>
      <c r="E985" s="298"/>
      <c r="F985" s="298"/>
    </row>
    <row r="986">
      <c r="C986" s="29"/>
      <c r="D986" s="350"/>
      <c r="E986" s="298"/>
      <c r="F986" s="298"/>
    </row>
    <row r="987">
      <c r="C987" s="29"/>
      <c r="D987" s="350"/>
      <c r="E987" s="298"/>
      <c r="F987" s="298"/>
    </row>
    <row r="988">
      <c r="C988" s="29"/>
      <c r="D988" s="350"/>
      <c r="E988" s="298"/>
      <c r="F988" s="298"/>
    </row>
    <row r="989">
      <c r="C989" s="29"/>
      <c r="D989" s="350"/>
      <c r="E989" s="298"/>
      <c r="F989" s="298"/>
    </row>
    <row r="990">
      <c r="C990" s="29"/>
      <c r="D990" s="350"/>
      <c r="E990" s="298"/>
      <c r="F990" s="298"/>
    </row>
    <row r="991">
      <c r="C991" s="29"/>
      <c r="D991" s="350"/>
      <c r="E991" s="298"/>
      <c r="F991" s="298"/>
    </row>
    <row r="992">
      <c r="C992" s="29"/>
      <c r="D992" s="350"/>
      <c r="E992" s="298"/>
      <c r="F992" s="298"/>
    </row>
    <row r="993">
      <c r="C993" s="29"/>
      <c r="D993" s="350"/>
      <c r="E993" s="298"/>
      <c r="F993" s="298"/>
    </row>
    <row r="994">
      <c r="C994" s="29"/>
      <c r="D994" s="350"/>
      <c r="E994" s="298"/>
      <c r="F994" s="298"/>
    </row>
    <row r="995">
      <c r="C995" s="29"/>
      <c r="D995" s="350"/>
      <c r="E995" s="298"/>
      <c r="F995" s="298"/>
    </row>
    <row r="996">
      <c r="C996" s="29"/>
      <c r="D996" s="350"/>
      <c r="E996" s="298"/>
      <c r="F996" s="298"/>
    </row>
    <row r="997">
      <c r="C997" s="29"/>
      <c r="D997" s="350"/>
      <c r="E997" s="298"/>
      <c r="F997" s="298"/>
    </row>
    <row r="998">
      <c r="C998" s="29"/>
      <c r="D998" s="350"/>
      <c r="E998" s="298"/>
      <c r="F998" s="298"/>
    </row>
    <row r="999">
      <c r="C999" s="29"/>
      <c r="D999" s="350"/>
      <c r="E999" s="298"/>
      <c r="F999" s="298"/>
    </row>
    <row r="1000">
      <c r="C1000" s="29"/>
      <c r="D1000" s="350"/>
      <c r="E1000" s="298"/>
      <c r="F1000" s="298"/>
    </row>
    <row r="1001">
      <c r="C1001" s="29"/>
      <c r="D1001" s="350"/>
      <c r="E1001" s="298"/>
      <c r="F1001" s="298"/>
    </row>
    <row r="1002">
      <c r="C1002" s="29"/>
      <c r="D1002" s="350"/>
      <c r="E1002" s="298"/>
      <c r="F1002" s="298"/>
    </row>
  </sheetData>
  <conditionalFormatting sqref="D2:D6 D8:D12 D14:D16 D18:D23 D25:D29 D31:D34 D36:D39 D41:D44 D46:D49 D51:D58">
    <cfRule type="containsText" dxfId="0" priority="1" operator="containsText" text="x">
      <formula>NOT(ISERROR(SEARCH(("x"),(D2))))</formula>
    </cfRule>
  </conditionalFormatting>
  <conditionalFormatting sqref="D2:D6 D8:D12 D14:D16 D18:D23 D25:D29 D31:D34 D36:D39 D41:D44 D46:D49 D51:D58">
    <cfRule type="containsBlanks" dxfId="5" priority="2">
      <formula>LEN(TRIM(D2))=0</formula>
    </cfRule>
  </conditionalFormatting>
  <printOptions gridLines="1" horizontalCentered="1"/>
  <pageMargins bottom="0.75" footer="0.0" header="0.0" left="0.7" right="0.7" top="0.75"/>
  <pageSetup paperSize="8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6.56"/>
    <col customWidth="1" min="3" max="3" width="19.44"/>
    <col customWidth="1" min="4" max="5" width="10.78"/>
    <col customWidth="1" min="6" max="6" width="32.89"/>
    <col customWidth="1" min="7" max="7" width="19.44"/>
    <col customWidth="1" min="8" max="8" width="54.78"/>
    <col customWidth="1" min="9" max="9" width="29.44"/>
    <col customWidth="1" min="10" max="10" width="14.78"/>
    <col customWidth="1" min="11" max="11" width="89.0"/>
  </cols>
  <sheetData>
    <row r="1">
      <c r="A1" s="367" t="s">
        <v>807</v>
      </c>
    </row>
    <row r="2">
      <c r="A2" s="368" t="s">
        <v>809</v>
      </c>
    </row>
    <row r="3">
      <c r="A3" s="369" t="s">
        <v>810</v>
      </c>
      <c r="B3" s="370" t="s">
        <v>811</v>
      </c>
      <c r="C3" s="370" t="s">
        <v>812</v>
      </c>
      <c r="D3" s="370" t="s">
        <v>813</v>
      </c>
      <c r="E3" s="370" t="s">
        <v>814</v>
      </c>
      <c r="F3" s="370" t="s">
        <v>815</v>
      </c>
      <c r="G3" s="370" t="s">
        <v>816</v>
      </c>
      <c r="H3" s="370" t="s">
        <v>817</v>
      </c>
      <c r="I3" s="370" t="s">
        <v>818</v>
      </c>
      <c r="J3" s="370" t="s">
        <v>819</v>
      </c>
      <c r="K3" s="370" t="s">
        <v>820</v>
      </c>
    </row>
    <row r="4">
      <c r="A4" s="371" t="s">
        <v>821</v>
      </c>
      <c r="B4" s="372">
        <v>911.0</v>
      </c>
      <c r="C4" s="372">
        <v>911.0</v>
      </c>
      <c r="D4" s="372">
        <v>911.0</v>
      </c>
      <c r="E4" s="372">
        <v>911.0</v>
      </c>
      <c r="F4" s="373" t="s">
        <v>822</v>
      </c>
      <c r="G4" s="374" t="s">
        <v>823</v>
      </c>
      <c r="H4" s="375" t="s">
        <v>824</v>
      </c>
      <c r="I4" s="376" t="s">
        <v>825</v>
      </c>
      <c r="J4" s="376" t="s">
        <v>827</v>
      </c>
      <c r="K4" s="377" t="s">
        <v>828</v>
      </c>
    </row>
    <row r="5">
      <c r="A5" s="371" t="s">
        <v>141</v>
      </c>
      <c r="B5" s="372">
        <v>911.0</v>
      </c>
      <c r="C5" s="372">
        <v>917.0</v>
      </c>
      <c r="D5" s="372">
        <v>911.0</v>
      </c>
      <c r="E5" s="372">
        <v>910.0</v>
      </c>
      <c r="F5" s="375" t="s">
        <v>829</v>
      </c>
      <c r="G5" s="374" t="s">
        <v>823</v>
      </c>
      <c r="H5" s="375" t="s">
        <v>830</v>
      </c>
      <c r="I5" s="376" t="s">
        <v>831</v>
      </c>
      <c r="J5" s="376" t="s">
        <v>827</v>
      </c>
      <c r="K5" s="377" t="s">
        <v>832</v>
      </c>
    </row>
    <row r="6">
      <c r="A6" s="371" t="s">
        <v>102</v>
      </c>
      <c r="B6" s="372" t="s">
        <v>833</v>
      </c>
      <c r="C6" s="372" t="s">
        <v>834</v>
      </c>
      <c r="D6" s="372" t="s">
        <v>835</v>
      </c>
      <c r="E6" s="372" t="s">
        <v>835</v>
      </c>
      <c r="F6" s="375" t="s">
        <v>836</v>
      </c>
      <c r="G6" s="374" t="s">
        <v>823</v>
      </c>
      <c r="H6" s="373" t="s">
        <v>838</v>
      </c>
      <c r="I6" s="376" t="s">
        <v>831</v>
      </c>
      <c r="J6" s="376" t="s">
        <v>827</v>
      </c>
      <c r="K6" s="377" t="s">
        <v>839</v>
      </c>
    </row>
    <row r="7">
      <c r="A7" s="371" t="s">
        <v>124</v>
      </c>
      <c r="B7" s="372">
        <v>111.0</v>
      </c>
      <c r="C7" s="372" t="s">
        <v>840</v>
      </c>
      <c r="D7" s="372">
        <v>111.0</v>
      </c>
      <c r="E7" s="372">
        <v>111.0</v>
      </c>
      <c r="F7" s="375" t="s">
        <v>841</v>
      </c>
      <c r="G7" s="374" t="s">
        <v>823</v>
      </c>
      <c r="H7" s="373" t="s">
        <v>842</v>
      </c>
      <c r="I7" s="376" t="s">
        <v>831</v>
      </c>
      <c r="J7" s="376" t="s">
        <v>827</v>
      </c>
      <c r="K7" s="377" t="s">
        <v>843</v>
      </c>
    </row>
    <row r="8">
      <c r="A8" s="371" t="s">
        <v>645</v>
      </c>
      <c r="B8" s="372" t="s">
        <v>844</v>
      </c>
      <c r="C8" s="372">
        <v>999.0</v>
      </c>
      <c r="D8" s="372">
        <v>995.0</v>
      </c>
      <c r="E8" s="372">
        <v>995.0</v>
      </c>
      <c r="F8" s="375" t="s">
        <v>846</v>
      </c>
      <c r="G8" s="374" t="s">
        <v>823</v>
      </c>
      <c r="H8" s="375" t="s">
        <v>847</v>
      </c>
      <c r="I8" s="376" t="s">
        <v>831</v>
      </c>
      <c r="J8" s="376" t="s">
        <v>827</v>
      </c>
      <c r="K8" s="378" t="s">
        <v>848</v>
      </c>
    </row>
    <row r="9">
      <c r="A9" s="371" t="s">
        <v>571</v>
      </c>
      <c r="B9" s="372" t="s">
        <v>849</v>
      </c>
      <c r="C9" s="372" t="s">
        <v>850</v>
      </c>
      <c r="D9" s="372">
        <v>1669.0</v>
      </c>
      <c r="E9" s="372">
        <v>199.0</v>
      </c>
      <c r="F9" s="375" t="s">
        <v>851</v>
      </c>
      <c r="G9" s="374" t="s">
        <v>823</v>
      </c>
      <c r="H9" s="375" t="s">
        <v>852</v>
      </c>
      <c r="I9" s="376" t="s">
        <v>831</v>
      </c>
      <c r="J9" s="376" t="s">
        <v>827</v>
      </c>
      <c r="K9" s="377" t="s">
        <v>853</v>
      </c>
    </row>
    <row r="10">
      <c r="A10" s="371" t="s">
        <v>854</v>
      </c>
      <c r="B10" s="372">
        <v>999.0</v>
      </c>
      <c r="C10" s="372">
        <v>999.0</v>
      </c>
      <c r="D10" s="372">
        <v>999.0</v>
      </c>
      <c r="E10" s="372">
        <v>999.0</v>
      </c>
      <c r="F10" s="375" t="s">
        <v>856</v>
      </c>
      <c r="G10" s="374" t="s">
        <v>823</v>
      </c>
      <c r="H10" s="375" t="s">
        <v>857</v>
      </c>
      <c r="I10" s="376" t="s">
        <v>831</v>
      </c>
      <c r="J10" s="376" t="s">
        <v>827</v>
      </c>
      <c r="K10" s="377" t="s">
        <v>858</v>
      </c>
    </row>
    <row r="11">
      <c r="A11" s="371" t="s">
        <v>581</v>
      </c>
      <c r="B11" s="372" t="s">
        <v>859</v>
      </c>
      <c r="C11" s="372">
        <v>112.0</v>
      </c>
      <c r="D11" s="372">
        <v>115.0</v>
      </c>
      <c r="E11" s="372">
        <v>114.0</v>
      </c>
      <c r="F11" s="375" t="s">
        <v>860</v>
      </c>
      <c r="G11" s="374" t="s">
        <v>823</v>
      </c>
      <c r="H11" s="375" t="s">
        <v>861</v>
      </c>
      <c r="I11" s="376" t="s">
        <v>831</v>
      </c>
      <c r="J11" s="376" t="s">
        <v>827</v>
      </c>
      <c r="K11" s="377" t="s">
        <v>862</v>
      </c>
    </row>
    <row r="23">
      <c r="A23" s="379" t="s">
        <v>863</v>
      </c>
    </row>
  </sheetData>
  <mergeCells count="3">
    <mergeCell ref="A1:K1"/>
    <mergeCell ref="A2:K2"/>
    <mergeCell ref="A23:K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53.67"/>
  </cols>
  <sheetData>
    <row r="2">
      <c r="A2" s="381" t="s">
        <v>873</v>
      </c>
    </row>
    <row r="3">
      <c r="A3" s="382" t="s">
        <v>875</v>
      </c>
    </row>
    <row r="4">
      <c r="A4" s="383" t="s">
        <v>876</v>
      </c>
      <c r="B4" s="297"/>
    </row>
    <row r="5">
      <c r="A5" s="383" t="s">
        <v>878</v>
      </c>
      <c r="B5" s="297"/>
    </row>
    <row r="6">
      <c r="A6" s="383" t="s">
        <v>879</v>
      </c>
      <c r="B6" s="297"/>
    </row>
    <row r="7">
      <c r="A7" s="383" t="s">
        <v>881</v>
      </c>
      <c r="B7" s="297"/>
    </row>
    <row r="8">
      <c r="A8" s="383" t="s">
        <v>882</v>
      </c>
      <c r="B8" s="297"/>
    </row>
    <row r="9">
      <c r="A9" s="383" t="s">
        <v>883</v>
      </c>
      <c r="B9" s="297"/>
    </row>
    <row r="10">
      <c r="A10" s="383" t="s">
        <v>884</v>
      </c>
      <c r="B10" s="297"/>
    </row>
    <row r="11">
      <c r="A11" s="383" t="s">
        <v>885</v>
      </c>
      <c r="B11" s="297"/>
    </row>
    <row r="12">
      <c r="A12" s="382" t="s">
        <v>886</v>
      </c>
    </row>
    <row r="13">
      <c r="A13" s="383" t="s">
        <v>887</v>
      </c>
      <c r="B13" s="297"/>
    </row>
    <row r="14">
      <c r="A14" s="383" t="s">
        <v>888</v>
      </c>
      <c r="B14" s="297"/>
    </row>
    <row r="15">
      <c r="A15" s="383" t="s">
        <v>889</v>
      </c>
      <c r="B15" s="297"/>
    </row>
    <row r="16">
      <c r="A16" s="383" t="s">
        <v>890</v>
      </c>
      <c r="B16" s="297"/>
    </row>
    <row r="17">
      <c r="A17" s="383" t="s">
        <v>891</v>
      </c>
      <c r="B17" s="297"/>
    </row>
    <row r="18">
      <c r="A18" s="383" t="s">
        <v>893</v>
      </c>
      <c r="B18" s="297"/>
    </row>
    <row r="19">
      <c r="A19" s="384"/>
    </row>
    <row r="20">
      <c r="A20" s="384"/>
    </row>
    <row r="21">
      <c r="A21" s="381" t="s">
        <v>895</v>
      </c>
    </row>
    <row r="22">
      <c r="A22" s="382" t="s">
        <v>896</v>
      </c>
    </row>
    <row r="23">
      <c r="A23" s="383" t="s">
        <v>897</v>
      </c>
      <c r="B23" s="297"/>
    </row>
    <row r="24">
      <c r="A24" s="383" t="s">
        <v>898</v>
      </c>
      <c r="B24" s="297"/>
    </row>
    <row r="25">
      <c r="A25" s="383" t="s">
        <v>899</v>
      </c>
      <c r="B25" s="297"/>
    </row>
    <row r="26">
      <c r="A26" s="383" t="s">
        <v>900</v>
      </c>
      <c r="B26" s="297"/>
    </row>
    <row r="27">
      <c r="A27" s="383" t="s">
        <v>901</v>
      </c>
      <c r="B27" s="297"/>
    </row>
    <row r="28">
      <c r="A28" s="383" t="s">
        <v>903</v>
      </c>
      <c r="B28" s="297"/>
    </row>
    <row r="29">
      <c r="A29" s="382" t="s">
        <v>904</v>
      </c>
    </row>
    <row r="30">
      <c r="A30" s="383" t="s">
        <v>905</v>
      </c>
      <c r="B30" s="297"/>
    </row>
    <row r="31">
      <c r="A31" s="383" t="s">
        <v>906</v>
      </c>
      <c r="B31" s="297"/>
    </row>
    <row r="32">
      <c r="A32" s="383" t="s">
        <v>907</v>
      </c>
      <c r="B32" s="297"/>
    </row>
    <row r="33">
      <c r="A33" s="382" t="s">
        <v>908</v>
      </c>
    </row>
    <row r="34">
      <c r="A34" s="383" t="s">
        <v>909</v>
      </c>
      <c r="B34" s="297"/>
    </row>
    <row r="35">
      <c r="A35" s="383" t="s">
        <v>910</v>
      </c>
      <c r="B35" s="297"/>
    </row>
    <row r="36">
      <c r="A36" s="383" t="s">
        <v>911</v>
      </c>
      <c r="B36" s="297"/>
    </row>
    <row r="37">
      <c r="A37" s="383" t="s">
        <v>912</v>
      </c>
      <c r="B37" s="297"/>
    </row>
    <row r="38">
      <c r="A38" s="383" t="s">
        <v>914</v>
      </c>
      <c r="B38" s="297"/>
    </row>
    <row r="39">
      <c r="A39" s="382" t="s">
        <v>915</v>
      </c>
    </row>
    <row r="40">
      <c r="A40" s="383" t="s">
        <v>916</v>
      </c>
      <c r="B40" s="297"/>
    </row>
    <row r="41">
      <c r="A41" s="383" t="s">
        <v>917</v>
      </c>
      <c r="B41" s="297"/>
    </row>
    <row r="42">
      <c r="A42" s="383" t="s">
        <v>918</v>
      </c>
      <c r="B42" s="297"/>
    </row>
    <row r="43">
      <c r="A43" s="383" t="s">
        <v>919</v>
      </c>
      <c r="B43" s="297"/>
    </row>
    <row r="44">
      <c r="A44" s="382" t="s">
        <v>920</v>
      </c>
    </row>
    <row r="45">
      <c r="A45" s="383" t="s">
        <v>921</v>
      </c>
      <c r="B45" s="297"/>
    </row>
    <row r="46">
      <c r="A46" s="383" t="s">
        <v>922</v>
      </c>
      <c r="B46" s="297"/>
    </row>
    <row r="47">
      <c r="A47" s="383" t="s">
        <v>923</v>
      </c>
      <c r="B47" s="297"/>
    </row>
    <row r="48">
      <c r="A48" s="383" t="s">
        <v>924</v>
      </c>
      <c r="B48" s="297"/>
    </row>
    <row r="49">
      <c r="A49" s="382" t="s">
        <v>925</v>
      </c>
    </row>
    <row r="50">
      <c r="A50" s="383" t="s">
        <v>926</v>
      </c>
      <c r="B50" s="297"/>
    </row>
    <row r="51">
      <c r="A51" s="383" t="s">
        <v>927</v>
      </c>
      <c r="B51" s="297"/>
    </row>
    <row r="52">
      <c r="A52" s="383" t="s">
        <v>928</v>
      </c>
      <c r="B52" s="297"/>
    </row>
    <row r="53">
      <c r="A53" s="383" t="s">
        <v>929</v>
      </c>
      <c r="B53" s="297"/>
    </row>
    <row r="54">
      <c r="A54" s="384"/>
    </row>
    <row r="55">
      <c r="A55" s="384"/>
    </row>
    <row r="56">
      <c r="A56" s="381" t="s">
        <v>931</v>
      </c>
    </row>
    <row r="57">
      <c r="A57" s="382" t="s">
        <v>896</v>
      </c>
    </row>
    <row r="58">
      <c r="A58" s="383" t="s">
        <v>932</v>
      </c>
      <c r="B58" s="297"/>
    </row>
    <row r="59">
      <c r="A59" s="383" t="s">
        <v>933</v>
      </c>
      <c r="B59" s="297"/>
    </row>
    <row r="60">
      <c r="A60" s="383" t="s">
        <v>934</v>
      </c>
      <c r="B60" s="297"/>
    </row>
    <row r="61">
      <c r="A61" s="383" t="s">
        <v>901</v>
      </c>
      <c r="B61" s="297"/>
    </row>
    <row r="62">
      <c r="A62" s="382" t="s">
        <v>904</v>
      </c>
    </row>
    <row r="63">
      <c r="A63" s="383" t="s">
        <v>905</v>
      </c>
      <c r="B63" s="297"/>
    </row>
    <row r="64">
      <c r="A64" s="383" t="s">
        <v>906</v>
      </c>
      <c r="B64" s="297"/>
    </row>
    <row r="65">
      <c r="A65" s="383" t="s">
        <v>935</v>
      </c>
      <c r="B65" s="297"/>
    </row>
    <row r="66">
      <c r="A66" s="382" t="s">
        <v>908</v>
      </c>
    </row>
    <row r="67">
      <c r="A67" s="383" t="s">
        <v>936</v>
      </c>
      <c r="B67" s="297"/>
    </row>
    <row r="68">
      <c r="A68" s="383" t="s">
        <v>910</v>
      </c>
      <c r="B68" s="297"/>
    </row>
    <row r="69">
      <c r="A69" s="383" t="s">
        <v>911</v>
      </c>
      <c r="B69" s="297"/>
    </row>
    <row r="70">
      <c r="A70" s="383" t="s">
        <v>912</v>
      </c>
      <c r="B70" s="297"/>
    </row>
    <row r="71">
      <c r="A71" s="383" t="s">
        <v>938</v>
      </c>
      <c r="B71" s="297"/>
    </row>
    <row r="72">
      <c r="A72" s="382" t="s">
        <v>915</v>
      </c>
    </row>
    <row r="73">
      <c r="A73" s="383" t="s">
        <v>939</v>
      </c>
      <c r="B73" s="297"/>
    </row>
    <row r="74">
      <c r="A74" s="383" t="s">
        <v>940</v>
      </c>
      <c r="B74" s="297"/>
    </row>
    <row r="75">
      <c r="A75" s="383" t="s">
        <v>941</v>
      </c>
      <c r="B75" s="297"/>
    </row>
    <row r="76">
      <c r="A76" s="382" t="s">
        <v>920</v>
      </c>
    </row>
    <row r="77">
      <c r="A77" s="383" t="s">
        <v>921</v>
      </c>
      <c r="B77" s="297"/>
    </row>
    <row r="78">
      <c r="A78" s="383" t="s">
        <v>942</v>
      </c>
      <c r="B78" s="297"/>
    </row>
    <row r="79">
      <c r="A79" s="383" t="s">
        <v>923</v>
      </c>
      <c r="B79" s="297"/>
    </row>
    <row r="80">
      <c r="A80" s="383" t="s">
        <v>943</v>
      </c>
      <c r="B80" s="297"/>
    </row>
    <row r="81">
      <c r="A81" s="383" t="s">
        <v>944</v>
      </c>
      <c r="B81" s="297"/>
    </row>
    <row r="82">
      <c r="A82" s="383" t="s">
        <v>924</v>
      </c>
      <c r="B82" s="297"/>
    </row>
    <row r="83">
      <c r="A83" s="384"/>
      <c r="B83" s="297"/>
    </row>
    <row r="84">
      <c r="A84" s="382" t="s">
        <v>925</v>
      </c>
    </row>
    <row r="85">
      <c r="A85" s="383" t="s">
        <v>926</v>
      </c>
      <c r="B85" s="297"/>
    </row>
    <row r="86">
      <c r="A86" s="383" t="s">
        <v>946</v>
      </c>
      <c r="B86" s="297"/>
    </row>
    <row r="87">
      <c r="A87" s="383" t="s">
        <v>947</v>
      </c>
      <c r="B87" s="297"/>
    </row>
    <row r="88">
      <c r="A88" s="384"/>
      <c r="B88" s="297"/>
    </row>
    <row r="89">
      <c r="A89" s="384"/>
    </row>
    <row r="90">
      <c r="A90" s="381" t="s">
        <v>948</v>
      </c>
    </row>
    <row r="91">
      <c r="A91" s="385"/>
    </row>
    <row r="92">
      <c r="A92" s="382" t="s">
        <v>949</v>
      </c>
    </row>
    <row r="93">
      <c r="A93" s="383" t="s">
        <v>950</v>
      </c>
      <c r="B93" s="297"/>
    </row>
    <row r="94">
      <c r="A94" s="383" t="s">
        <v>951</v>
      </c>
      <c r="B94" s="297"/>
    </row>
    <row r="95">
      <c r="A95" s="383" t="s">
        <v>952</v>
      </c>
      <c r="B95" s="297"/>
    </row>
    <row r="96">
      <c r="A96" s="383" t="s">
        <v>953</v>
      </c>
      <c r="B96" s="297"/>
    </row>
    <row r="97">
      <c r="A97" s="383" t="s">
        <v>954</v>
      </c>
      <c r="B97" s="297"/>
    </row>
    <row r="98">
      <c r="A98" s="383" t="s">
        <v>955</v>
      </c>
      <c r="B98" s="297"/>
    </row>
    <row r="99">
      <c r="A99" s="383" t="s">
        <v>956</v>
      </c>
      <c r="B99" s="297"/>
    </row>
    <row r="100">
      <c r="A100" s="382" t="s">
        <v>904</v>
      </c>
    </row>
    <row r="101">
      <c r="A101" s="383" t="s">
        <v>905</v>
      </c>
      <c r="B101" s="297"/>
    </row>
    <row r="102">
      <c r="A102" s="383" t="s">
        <v>957</v>
      </c>
      <c r="B102" s="297"/>
    </row>
    <row r="103">
      <c r="A103" s="383" t="s">
        <v>935</v>
      </c>
      <c r="B103" s="297"/>
    </row>
    <row r="104">
      <c r="A104" s="382" t="s">
        <v>908</v>
      </c>
    </row>
    <row r="105">
      <c r="A105" s="383" t="s">
        <v>936</v>
      </c>
      <c r="B105" s="297"/>
    </row>
    <row r="106">
      <c r="A106" s="383" t="s">
        <v>958</v>
      </c>
      <c r="B106" s="297"/>
    </row>
    <row r="107">
      <c r="A107" s="383" t="s">
        <v>959</v>
      </c>
      <c r="B107" s="297"/>
    </row>
    <row r="108">
      <c r="A108" s="383" t="s">
        <v>938</v>
      </c>
      <c r="B108" s="297"/>
    </row>
    <row r="109">
      <c r="A109" s="382" t="s">
        <v>915</v>
      </c>
    </row>
    <row r="110">
      <c r="A110" s="383" t="s">
        <v>961</v>
      </c>
      <c r="B110" s="297"/>
    </row>
    <row r="111">
      <c r="A111" s="383" t="s">
        <v>940</v>
      </c>
      <c r="B111" s="297"/>
    </row>
    <row r="112">
      <c r="A112" s="383" t="s">
        <v>962</v>
      </c>
      <c r="B112" s="297"/>
    </row>
    <row r="113">
      <c r="A113" s="383" t="s">
        <v>941</v>
      </c>
      <c r="B113" s="297"/>
    </row>
    <row r="114">
      <c r="A114" s="382" t="s">
        <v>920</v>
      </c>
    </row>
    <row r="115">
      <c r="A115" s="383" t="s">
        <v>963</v>
      </c>
      <c r="B115" s="297"/>
    </row>
    <row r="116">
      <c r="A116" s="383" t="s">
        <v>942</v>
      </c>
      <c r="B116" s="297"/>
    </row>
    <row r="117">
      <c r="A117" s="383" t="s">
        <v>965</v>
      </c>
      <c r="B117" s="297"/>
    </row>
    <row r="118">
      <c r="A118" s="384"/>
      <c r="B118" s="297"/>
    </row>
    <row r="119">
      <c r="A119" s="384"/>
    </row>
    <row r="120">
      <c r="A120" s="382" t="s">
        <v>966</v>
      </c>
    </row>
    <row r="121">
      <c r="A121" s="383" t="s">
        <v>932</v>
      </c>
      <c r="B121" s="297"/>
    </row>
    <row r="122">
      <c r="A122" s="383" t="s">
        <v>967</v>
      </c>
      <c r="B122" s="297"/>
    </row>
    <row r="123">
      <c r="A123" s="383" t="s">
        <v>952</v>
      </c>
      <c r="B123" s="297"/>
    </row>
    <row r="124">
      <c r="A124" s="383" t="s">
        <v>968</v>
      </c>
      <c r="B124" s="297"/>
    </row>
    <row r="125">
      <c r="A125" s="383" t="s">
        <v>954</v>
      </c>
      <c r="B125" s="297"/>
    </row>
    <row r="126">
      <c r="A126" s="383" t="s">
        <v>955</v>
      </c>
      <c r="B126" s="297"/>
    </row>
    <row r="127">
      <c r="A127" s="383" t="s">
        <v>956</v>
      </c>
      <c r="B127" s="297"/>
    </row>
    <row r="128">
      <c r="A128" s="382" t="s">
        <v>904</v>
      </c>
    </row>
    <row r="129">
      <c r="A129" s="383" t="s">
        <v>905</v>
      </c>
      <c r="B129" s="297"/>
    </row>
    <row r="130">
      <c r="A130" s="383" t="s">
        <v>957</v>
      </c>
      <c r="B130" s="297"/>
    </row>
    <row r="131">
      <c r="A131" s="383" t="s">
        <v>935</v>
      </c>
      <c r="B131" s="297"/>
    </row>
    <row r="132">
      <c r="A132" s="382" t="s">
        <v>908</v>
      </c>
    </row>
    <row r="133">
      <c r="A133" s="383" t="s">
        <v>970</v>
      </c>
      <c r="B133" s="297"/>
    </row>
    <row r="134">
      <c r="A134" s="383" t="s">
        <v>958</v>
      </c>
      <c r="B134" s="297"/>
    </row>
    <row r="135">
      <c r="A135" s="383" t="s">
        <v>959</v>
      </c>
      <c r="B135" s="297"/>
    </row>
    <row r="136">
      <c r="A136" s="383" t="s">
        <v>938</v>
      </c>
      <c r="B136" s="297"/>
    </row>
    <row r="137">
      <c r="A137" s="382" t="s">
        <v>915</v>
      </c>
    </row>
    <row r="138">
      <c r="A138" s="383" t="s">
        <v>961</v>
      </c>
      <c r="B138" s="297"/>
    </row>
    <row r="139">
      <c r="A139" s="383" t="s">
        <v>940</v>
      </c>
      <c r="B139" s="297"/>
    </row>
    <row r="140">
      <c r="A140" s="383" t="s">
        <v>962</v>
      </c>
      <c r="B140" s="297"/>
    </row>
    <row r="141">
      <c r="A141" s="383" t="s">
        <v>941</v>
      </c>
      <c r="B141" s="297"/>
    </row>
    <row r="142">
      <c r="A142" s="382" t="s">
        <v>920</v>
      </c>
    </row>
    <row r="143">
      <c r="A143" s="383" t="s">
        <v>963</v>
      </c>
      <c r="B143" s="297"/>
    </row>
    <row r="144">
      <c r="A144" s="383" t="s">
        <v>942</v>
      </c>
      <c r="B144" s="297"/>
    </row>
    <row r="145">
      <c r="A145" s="383" t="s">
        <v>965</v>
      </c>
      <c r="B145" s="297"/>
    </row>
    <row r="146">
      <c r="A146" s="382" t="s">
        <v>925</v>
      </c>
    </row>
    <row r="147">
      <c r="A147" s="383" t="s">
        <v>926</v>
      </c>
      <c r="B147" s="297"/>
    </row>
    <row r="148">
      <c r="A148" s="383" t="s">
        <v>946</v>
      </c>
      <c r="B148" s="297"/>
    </row>
    <row r="149">
      <c r="A149" s="383" t="s">
        <v>928</v>
      </c>
      <c r="B149" s="297"/>
    </row>
    <row r="150">
      <c r="A150" s="383" t="s">
        <v>929</v>
      </c>
      <c r="B150" s="297"/>
    </row>
    <row r="151">
      <c r="A151" s="384"/>
    </row>
    <row r="152">
      <c r="A152" s="384"/>
    </row>
    <row r="153">
      <c r="A153" s="381" t="s">
        <v>972</v>
      </c>
    </row>
    <row r="154">
      <c r="A154" s="383" t="s">
        <v>973</v>
      </c>
      <c r="B154" s="297"/>
    </row>
    <row r="155">
      <c r="A155" s="383" t="s">
        <v>974</v>
      </c>
      <c r="B155" s="297"/>
    </row>
    <row r="156">
      <c r="A156" s="383" t="s">
        <v>975</v>
      </c>
      <c r="B156" s="297"/>
    </row>
    <row r="157">
      <c r="A157" s="383" t="s">
        <v>976</v>
      </c>
      <c r="B157" s="297"/>
    </row>
    <row r="158">
      <c r="A158" s="383" t="s">
        <v>977</v>
      </c>
      <c r="B158" s="297"/>
    </row>
    <row r="159">
      <c r="A159" s="383" t="s">
        <v>978</v>
      </c>
      <c r="B159" s="297"/>
    </row>
    <row r="160">
      <c r="A160" s="383" t="s">
        <v>979</v>
      </c>
      <c r="B160" s="297"/>
    </row>
    <row r="161">
      <c r="A161" s="383" t="s">
        <v>980</v>
      </c>
      <c r="B161" s="297"/>
    </row>
    <row r="162">
      <c r="A162" s="383" t="s">
        <v>981</v>
      </c>
      <c r="B162" s="297"/>
    </row>
    <row r="163">
      <c r="A163" s="383" t="s">
        <v>982</v>
      </c>
      <c r="B163" s="297"/>
    </row>
    <row r="164">
      <c r="A164" s="383" t="s">
        <v>983</v>
      </c>
      <c r="B164" s="297"/>
    </row>
    <row r="165">
      <c r="A165" s="383" t="s">
        <v>984</v>
      </c>
      <c r="B165" s="297"/>
    </row>
    <row r="166">
      <c r="A166" s="383" t="s">
        <v>985</v>
      </c>
    </row>
    <row r="167">
      <c r="A167" s="384"/>
    </row>
    <row r="168">
      <c r="A168" s="381" t="s">
        <v>886</v>
      </c>
    </row>
    <row r="169">
      <c r="A169" s="381" t="s">
        <v>986</v>
      </c>
    </row>
    <row r="170">
      <c r="A170" s="383" t="s">
        <v>987</v>
      </c>
      <c r="B170" s="297"/>
    </row>
    <row r="171">
      <c r="A171" s="383" t="s">
        <v>988</v>
      </c>
      <c r="B171" s="297"/>
    </row>
    <row r="172">
      <c r="A172" s="383" t="s">
        <v>989</v>
      </c>
      <c r="B172" s="297"/>
    </row>
    <row r="173">
      <c r="A173" s="383" t="s">
        <v>990</v>
      </c>
      <c r="B173" s="297"/>
    </row>
    <row r="174">
      <c r="A174" s="383" t="s">
        <v>991</v>
      </c>
      <c r="B174" s="297"/>
    </row>
    <row r="175">
      <c r="A175" s="383" t="s">
        <v>992</v>
      </c>
      <c r="B175" s="297"/>
    </row>
    <row r="176">
      <c r="A176" s="383" t="s">
        <v>993</v>
      </c>
      <c r="B176" s="297"/>
    </row>
    <row r="177">
      <c r="A177" s="383" t="s">
        <v>994</v>
      </c>
      <c r="B177" s="297"/>
    </row>
    <row r="178">
      <c r="A178" s="387" t="s">
        <v>995</v>
      </c>
      <c r="B178" s="297"/>
    </row>
    <row r="179">
      <c r="A179" s="383" t="s">
        <v>996</v>
      </c>
      <c r="B179" s="297"/>
    </row>
    <row r="180">
      <c r="A180" s="383" t="s">
        <v>998</v>
      </c>
      <c r="B180" s="297"/>
    </row>
    <row r="181">
      <c r="A181" s="383" t="s">
        <v>999</v>
      </c>
      <c r="B181" s="297"/>
    </row>
    <row r="182">
      <c r="A182" s="383" t="s">
        <v>1000</v>
      </c>
      <c r="B182" s="297"/>
    </row>
    <row r="183">
      <c r="A183" s="383" t="s">
        <v>1001</v>
      </c>
      <c r="B183" s="297"/>
    </row>
    <row r="184">
      <c r="A184" s="383" t="s">
        <v>1003</v>
      </c>
      <c r="B184" s="297"/>
    </row>
    <row r="185">
      <c r="A185" s="384"/>
      <c r="B185" s="297"/>
    </row>
    <row r="186">
      <c r="A186" s="384"/>
    </row>
    <row r="187">
      <c r="A187" s="381" t="s">
        <v>1004</v>
      </c>
    </row>
    <row r="188">
      <c r="A188" s="383" t="s">
        <v>1005</v>
      </c>
      <c r="B188" s="297"/>
    </row>
    <row r="189">
      <c r="A189" s="383" t="s">
        <v>1006</v>
      </c>
      <c r="B189" s="297"/>
    </row>
    <row r="190">
      <c r="A190" s="383" t="s">
        <v>1007</v>
      </c>
      <c r="B190" s="297"/>
    </row>
    <row r="191">
      <c r="A191" s="383" t="s">
        <v>1009</v>
      </c>
      <c r="B191" s="297"/>
    </row>
    <row r="192">
      <c r="A192" s="383" t="s">
        <v>1010</v>
      </c>
      <c r="B192" s="297"/>
    </row>
    <row r="193">
      <c r="A193" s="383" t="s">
        <v>1011</v>
      </c>
      <c r="B193" s="297"/>
    </row>
    <row r="194">
      <c r="A194" s="383" t="s">
        <v>1012</v>
      </c>
      <c r="B194" s="297"/>
    </row>
    <row r="195">
      <c r="A195" s="383" t="s">
        <v>1013</v>
      </c>
      <c r="B195" s="297"/>
    </row>
    <row r="196">
      <c r="A196" s="383" t="s">
        <v>1014</v>
      </c>
      <c r="B196" s="297"/>
    </row>
    <row r="197">
      <c r="A197" s="383" t="s">
        <v>1015</v>
      </c>
      <c r="B197" s="297"/>
    </row>
    <row r="198">
      <c r="A198" s="384"/>
    </row>
    <row r="199">
      <c r="A199" s="381" t="s">
        <v>170</v>
      </c>
    </row>
    <row r="200">
      <c r="A200" s="385"/>
    </row>
    <row r="201">
      <c r="A201" s="383" t="s">
        <v>1016</v>
      </c>
    </row>
    <row r="202">
      <c r="A202" s="383" t="s">
        <v>1017</v>
      </c>
      <c r="B202" s="297"/>
    </row>
    <row r="203">
      <c r="A203" s="383" t="s">
        <v>1018</v>
      </c>
      <c r="B203" s="297"/>
    </row>
    <row r="204">
      <c r="A204" s="383" t="s">
        <v>995</v>
      </c>
      <c r="B204" s="297"/>
    </row>
    <row r="205">
      <c r="A205" s="383" t="s">
        <v>1019</v>
      </c>
      <c r="B205" s="297"/>
    </row>
    <row r="206">
      <c r="A206" s="383" t="s">
        <v>1020</v>
      </c>
      <c r="B206" s="297"/>
    </row>
    <row r="207">
      <c r="A207" s="383" t="s">
        <v>1021</v>
      </c>
      <c r="B207" s="297"/>
    </row>
    <row r="208">
      <c r="A208" s="383" t="s">
        <v>1022</v>
      </c>
      <c r="B208" s="297"/>
    </row>
    <row r="209">
      <c r="A209" s="383" t="s">
        <v>1023</v>
      </c>
      <c r="B209" s="297"/>
    </row>
    <row r="210">
      <c r="A210" s="383" t="s">
        <v>1024</v>
      </c>
      <c r="B210" s="297"/>
    </row>
    <row r="211">
      <c r="A211" s="383" t="s">
        <v>1025</v>
      </c>
      <c r="B211" s="297"/>
    </row>
    <row r="212">
      <c r="A212" s="383" t="s">
        <v>1026</v>
      </c>
      <c r="B212" s="297"/>
    </row>
    <row r="213">
      <c r="A213" s="383" t="s">
        <v>1027</v>
      </c>
      <c r="B213" s="297"/>
    </row>
    <row r="214">
      <c r="A214" s="383" t="s">
        <v>1028</v>
      </c>
      <c r="B214" s="297"/>
    </row>
    <row r="215">
      <c r="A215" s="383" t="s">
        <v>1029</v>
      </c>
      <c r="B215" s="297"/>
    </row>
    <row r="216">
      <c r="A216" s="383" t="s">
        <v>1030</v>
      </c>
      <c r="B216" s="297"/>
    </row>
    <row r="217">
      <c r="A217" s="383" t="s">
        <v>1031</v>
      </c>
      <c r="B217" s="297"/>
    </row>
    <row r="218">
      <c r="A218" s="383" t="s">
        <v>1032</v>
      </c>
      <c r="B218" s="297"/>
    </row>
    <row r="219">
      <c r="A219" s="383" t="s">
        <v>1033</v>
      </c>
      <c r="B219" s="297"/>
    </row>
    <row r="220">
      <c r="A220" s="382" t="s">
        <v>1034</v>
      </c>
    </row>
    <row r="221">
      <c r="A221" s="383" t="s">
        <v>1035</v>
      </c>
      <c r="B221" s="297"/>
    </row>
    <row r="222">
      <c r="A222" s="383" t="s">
        <v>1036</v>
      </c>
      <c r="B222" s="297"/>
    </row>
    <row r="223">
      <c r="A223" s="383" t="s">
        <v>1037</v>
      </c>
      <c r="B223" s="297"/>
    </row>
    <row r="224">
      <c r="A224" s="383" t="s">
        <v>1038</v>
      </c>
      <c r="B224" s="297"/>
    </row>
    <row r="225">
      <c r="A225" s="383" t="s">
        <v>1040</v>
      </c>
      <c r="B225" s="297"/>
    </row>
    <row r="226">
      <c r="A226" s="383" t="s">
        <v>1041</v>
      </c>
      <c r="B226" s="297"/>
    </row>
    <row r="227">
      <c r="A227" s="383" t="s">
        <v>1042</v>
      </c>
      <c r="B227" s="297"/>
    </row>
    <row r="228">
      <c r="A228" s="383" t="s">
        <v>1043</v>
      </c>
      <c r="B228" s="297"/>
    </row>
    <row r="229">
      <c r="A229" s="384"/>
    </row>
    <row r="230">
      <c r="A230" s="384"/>
      <c r="B230" s="297"/>
    </row>
    <row r="231">
      <c r="A231" s="390"/>
    </row>
    <row r="232">
      <c r="A232" s="391"/>
    </row>
    <row r="233">
      <c r="A233" s="391"/>
    </row>
    <row r="234">
      <c r="A234" s="384"/>
    </row>
    <row r="235">
      <c r="A235" s="381"/>
    </row>
    <row r="236">
      <c r="A236" s="382"/>
    </row>
    <row r="237">
      <c r="A237" s="384"/>
    </row>
    <row r="238">
      <c r="A238" s="383"/>
    </row>
    <row r="239">
      <c r="A239" s="383"/>
    </row>
    <row r="240">
      <c r="A240" s="383"/>
    </row>
    <row r="241">
      <c r="A241" s="383"/>
    </row>
    <row r="242">
      <c r="A242" s="382"/>
    </row>
    <row r="243">
      <c r="A243" s="384"/>
    </row>
    <row r="244">
      <c r="A244" s="383"/>
    </row>
    <row r="245">
      <c r="A245" s="383"/>
    </row>
    <row r="246">
      <c r="A246" s="383"/>
    </row>
    <row r="247">
      <c r="A247" s="383"/>
    </row>
    <row r="248">
      <c r="A248" s="383"/>
    </row>
    <row r="249">
      <c r="A249" s="383"/>
    </row>
    <row r="250">
      <c r="A250" s="384"/>
    </row>
  </sheetData>
  <conditionalFormatting sqref="B4:B11 B13:B18 B23:B28 B30:B32 B34:B38 B40:B43 B45:B48 B50:B53 B58:B61 B63:B65 B67:B71 B73:B75 B77:B83 B85:B88 B93:B99 B101:B103 B105:B108 B110:B113 B115:B118 B121:B127 B129:B131 B133:B136 B138:B141 B143:B145 B147:B150 B154:B165 B170:B185 B188:B197 B202:B219 B221:B228 B230">
    <cfRule type="containsText" dxfId="0" priority="1" operator="containsText" text="x">
      <formula>NOT(ISERROR(SEARCH(("x"),(B4))))</formula>
    </cfRule>
  </conditionalFormatting>
  <conditionalFormatting sqref="B4:B11 B13:B18 B23:B28 B30:B32 B34:B38 B40:B43 B45:B48 B50:B53 B58:B61 B63:B65 B67:B71 B73:B75 B77:B83 B85:B88 B93:B99 B101:B103 B105:B108 B110:B113 B115:B118 B121:B127 B129:B131 B133:B136 B138:B141 B143:B145 B147:B150 B154:B165 B170:B185 B188:B197 B202:B219 B221:B228 B230">
    <cfRule type="containsBlanks" dxfId="5" priority="2">
      <formula>LEN(TRIM(B4))=0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33"/>
    <col customWidth="1" min="2" max="2" width="4.33"/>
    <col customWidth="1" min="3" max="4" width="33.44"/>
    <col customWidth="1" min="5" max="5" width="8.33"/>
    <col customWidth="1" min="6" max="6" width="8.0"/>
    <col customWidth="1" min="7" max="7" width="33.22"/>
    <col customWidth="1" min="8" max="8" width="42.11"/>
    <col customWidth="1" min="9" max="9" width="44.0"/>
  </cols>
  <sheetData>
    <row r="1" ht="22.5" hidden="1" customHeight="1">
      <c r="A1" s="394" t="s">
        <v>3</v>
      </c>
      <c r="B1" s="394" t="s">
        <v>1049</v>
      </c>
      <c r="C1" s="394" t="s">
        <v>1050</v>
      </c>
      <c r="D1" s="394" t="s">
        <v>1051</v>
      </c>
      <c r="E1" s="394" t="s">
        <v>1052</v>
      </c>
      <c r="F1" s="394" t="s">
        <v>1053</v>
      </c>
      <c r="G1" s="395" t="s">
        <v>1054</v>
      </c>
      <c r="H1" s="395" t="s">
        <v>1055</v>
      </c>
      <c r="I1" s="396" t="s">
        <v>1056</v>
      </c>
      <c r="J1" s="397"/>
      <c r="K1" s="397"/>
      <c r="L1" s="397"/>
      <c r="M1" s="397"/>
      <c r="N1" s="397"/>
    </row>
    <row r="2" ht="22.5" customHeight="1">
      <c r="A2" s="394" t="s">
        <v>3</v>
      </c>
      <c r="B2" s="394" t="s">
        <v>1049</v>
      </c>
      <c r="C2" s="394" t="s">
        <v>1050</v>
      </c>
      <c r="D2" s="394" t="s">
        <v>1051</v>
      </c>
      <c r="E2" s="394" t="s">
        <v>1052</v>
      </c>
      <c r="F2" s="394" t="s">
        <v>1053</v>
      </c>
      <c r="G2" s="394" t="s">
        <v>1054</v>
      </c>
      <c r="H2" s="394" t="s">
        <v>1055</v>
      </c>
      <c r="I2" s="399" t="s">
        <v>1057</v>
      </c>
      <c r="J2" s="400"/>
      <c r="K2" s="400"/>
      <c r="L2" s="400"/>
      <c r="M2" s="400"/>
      <c r="N2" s="400"/>
    </row>
    <row r="3" ht="22.5" customHeight="1">
      <c r="A3" s="403">
        <v>46284.0</v>
      </c>
      <c r="B3" s="404">
        <v>1.0</v>
      </c>
      <c r="C3" s="404" t="s">
        <v>1059</v>
      </c>
      <c r="D3" s="404" t="s">
        <v>1060</v>
      </c>
      <c r="E3" s="408"/>
      <c r="F3" s="410"/>
      <c r="G3" s="412"/>
      <c r="H3" s="413" t="s">
        <v>1066</v>
      </c>
      <c r="I3" s="414"/>
      <c r="J3" s="400"/>
      <c r="K3" s="400"/>
      <c r="L3" s="400"/>
      <c r="M3" s="400"/>
      <c r="N3" s="400"/>
    </row>
    <row r="4" ht="22.5" customHeight="1">
      <c r="A4" s="403">
        <v>46285.0</v>
      </c>
      <c r="B4" s="404">
        <v>2.0</v>
      </c>
      <c r="C4" s="404" t="s">
        <v>60</v>
      </c>
      <c r="D4" s="404" t="s">
        <v>1078</v>
      </c>
      <c r="E4" s="408"/>
      <c r="F4" s="410"/>
      <c r="G4" s="412"/>
      <c r="H4" s="413" t="s">
        <v>1085</v>
      </c>
      <c r="I4" s="414"/>
      <c r="J4" s="400"/>
      <c r="K4" s="400"/>
      <c r="L4" s="400"/>
      <c r="M4" s="400"/>
      <c r="N4" s="400"/>
    </row>
    <row r="5" ht="22.5" customHeight="1">
      <c r="A5" s="403">
        <v>46286.0</v>
      </c>
      <c r="B5" s="404">
        <v>3.0</v>
      </c>
      <c r="C5" s="404" t="s">
        <v>60</v>
      </c>
      <c r="D5" s="404" t="s">
        <v>1091</v>
      </c>
      <c r="E5" s="408"/>
      <c r="F5" s="410"/>
      <c r="G5" s="420" t="s">
        <v>1092</v>
      </c>
      <c r="H5" s="413" t="s">
        <v>1093</v>
      </c>
      <c r="I5" s="414"/>
      <c r="J5" s="400"/>
      <c r="K5" s="400"/>
      <c r="L5" s="400"/>
      <c r="M5" s="400"/>
      <c r="N5" s="400"/>
    </row>
    <row r="6" ht="22.5" customHeight="1">
      <c r="A6" s="403">
        <v>46287.0</v>
      </c>
      <c r="B6" s="404">
        <v>4.0</v>
      </c>
      <c r="C6" s="404" t="s">
        <v>77</v>
      </c>
      <c r="D6" s="421" t="s">
        <v>1094</v>
      </c>
      <c r="E6" s="408">
        <v>200.0</v>
      </c>
      <c r="F6" s="410">
        <v>2.3</v>
      </c>
      <c r="G6" s="412"/>
      <c r="H6" s="425" t="s">
        <v>1095</v>
      </c>
      <c r="I6" s="426" t="s">
        <v>1101</v>
      </c>
      <c r="J6" s="400"/>
      <c r="K6" s="400"/>
      <c r="L6" s="400"/>
      <c r="M6" s="400"/>
      <c r="N6" s="400"/>
    </row>
    <row r="7" ht="22.5" customHeight="1">
      <c r="A7" s="403">
        <v>46288.0</v>
      </c>
      <c r="B7" s="404">
        <v>5.0</v>
      </c>
      <c r="C7" s="421" t="s">
        <v>1104</v>
      </c>
      <c r="D7" s="421" t="s">
        <v>1105</v>
      </c>
      <c r="E7" s="408">
        <v>240.0</v>
      </c>
      <c r="F7" s="410">
        <v>2.3</v>
      </c>
      <c r="G7" s="412"/>
      <c r="H7" s="425" t="s">
        <v>1108</v>
      </c>
      <c r="I7" s="426" t="s">
        <v>1113</v>
      </c>
      <c r="J7" s="400"/>
      <c r="K7" s="400"/>
      <c r="L7" s="400"/>
      <c r="M7" s="400"/>
      <c r="N7" s="400"/>
    </row>
    <row r="8" ht="22.5" customHeight="1">
      <c r="A8" s="403">
        <v>46289.0</v>
      </c>
      <c r="B8" s="404">
        <v>6.0</v>
      </c>
      <c r="C8" s="433" t="s">
        <v>111</v>
      </c>
      <c r="D8" s="434" t="s">
        <v>1121</v>
      </c>
      <c r="E8" s="408">
        <v>220.0</v>
      </c>
      <c r="F8" s="410">
        <v>2.15</v>
      </c>
      <c r="G8" s="412"/>
      <c r="H8" s="425" t="s">
        <v>1126</v>
      </c>
      <c r="I8" s="414"/>
      <c r="J8" s="400"/>
      <c r="K8" s="400"/>
      <c r="L8" s="400"/>
      <c r="M8" s="400"/>
      <c r="N8" s="400"/>
    </row>
    <row r="9" ht="22.5" customHeight="1">
      <c r="A9" s="403">
        <v>46290.0</v>
      </c>
      <c r="B9" s="404">
        <v>7.0</v>
      </c>
      <c r="C9" s="404" t="s">
        <v>123</v>
      </c>
      <c r="D9" s="421" t="s">
        <v>1136</v>
      </c>
      <c r="E9" s="408">
        <v>165.0</v>
      </c>
      <c r="F9" s="410">
        <v>3.0</v>
      </c>
      <c r="G9" s="412"/>
      <c r="H9" s="425" t="s">
        <v>1140</v>
      </c>
      <c r="I9" s="414"/>
      <c r="J9" s="400"/>
      <c r="K9" s="400"/>
      <c r="L9" s="400"/>
      <c r="M9" s="400"/>
      <c r="N9" s="400"/>
    </row>
    <row r="10" ht="22.5" customHeight="1">
      <c r="A10" s="403">
        <v>46291.0</v>
      </c>
      <c r="B10" s="404">
        <v>8.0</v>
      </c>
      <c r="C10" s="404" t="s">
        <v>1147</v>
      </c>
      <c r="D10" s="404" t="s">
        <v>1148</v>
      </c>
      <c r="E10" s="408">
        <v>30.0</v>
      </c>
      <c r="F10" s="410">
        <v>0.3</v>
      </c>
      <c r="G10" s="412"/>
      <c r="H10" s="425" t="s">
        <v>1149</v>
      </c>
      <c r="I10" s="414"/>
      <c r="J10" s="400"/>
      <c r="K10" s="400"/>
      <c r="L10" s="400"/>
      <c r="M10" s="400"/>
      <c r="N10" s="400"/>
    </row>
    <row r="11" ht="22.5" customHeight="1">
      <c r="A11" s="403">
        <v>46292.0</v>
      </c>
      <c r="B11" s="404">
        <v>9.0</v>
      </c>
      <c r="C11" s="404" t="s">
        <v>1147</v>
      </c>
      <c r="D11" s="404" t="s">
        <v>1159</v>
      </c>
      <c r="E11" s="408"/>
      <c r="F11" s="410"/>
      <c r="G11" s="412"/>
      <c r="H11" s="425" t="s">
        <v>1161</v>
      </c>
      <c r="I11" s="414"/>
      <c r="J11" s="400"/>
      <c r="K11" s="400"/>
      <c r="L11" s="400"/>
      <c r="M11" s="400"/>
      <c r="N11" s="400"/>
    </row>
    <row r="12" ht="22.5" customHeight="1">
      <c r="A12" s="403">
        <v>46293.0</v>
      </c>
      <c r="B12" s="404">
        <v>10.0</v>
      </c>
      <c r="C12" s="404" t="s">
        <v>1168</v>
      </c>
      <c r="D12" s="404" t="s">
        <v>1169</v>
      </c>
      <c r="E12" s="408">
        <v>30.0</v>
      </c>
      <c r="F12" s="410">
        <v>1.0</v>
      </c>
      <c r="G12" s="412"/>
      <c r="H12" s="425" t="s">
        <v>1172</v>
      </c>
      <c r="I12" s="414"/>
      <c r="J12" s="400"/>
      <c r="K12" s="400"/>
      <c r="L12" s="400"/>
      <c r="M12" s="400"/>
      <c r="N12" s="400"/>
    </row>
    <row r="13" ht="22.5" customHeight="1">
      <c r="A13" s="403">
        <v>46294.0</v>
      </c>
      <c r="B13" s="404">
        <v>11.0</v>
      </c>
      <c r="C13" s="404" t="s">
        <v>1182</v>
      </c>
      <c r="D13" s="437" t="s">
        <v>1183</v>
      </c>
      <c r="E13" s="438" t="s">
        <v>490</v>
      </c>
      <c r="F13" s="439" t="s">
        <v>490</v>
      </c>
      <c r="G13" s="412"/>
      <c r="H13" s="425" t="s">
        <v>1189</v>
      </c>
      <c r="I13" s="414"/>
      <c r="J13" s="400"/>
      <c r="K13" s="400"/>
      <c r="L13" s="400"/>
      <c r="M13" s="400"/>
      <c r="N13" s="400"/>
    </row>
    <row r="14" ht="22.5" customHeight="1">
      <c r="A14" s="403">
        <v>46295.0</v>
      </c>
      <c r="B14" s="404">
        <v>12.0</v>
      </c>
      <c r="C14" s="404" t="s">
        <v>1197</v>
      </c>
      <c r="D14" s="404" t="s">
        <v>1200</v>
      </c>
      <c r="E14" s="408">
        <v>450.0</v>
      </c>
      <c r="F14" s="410">
        <v>5.3</v>
      </c>
      <c r="G14" s="412"/>
      <c r="H14" s="425" t="s">
        <v>1204</v>
      </c>
      <c r="I14" s="426" t="s">
        <v>1213</v>
      </c>
      <c r="J14" s="400"/>
      <c r="K14" s="400"/>
      <c r="L14" s="400"/>
      <c r="M14" s="400"/>
      <c r="N14" s="400"/>
    </row>
    <row r="15" ht="22.5" customHeight="1">
      <c r="A15" s="403">
        <v>46296.0</v>
      </c>
      <c r="B15" s="404">
        <v>13.0</v>
      </c>
      <c r="C15" s="404" t="s">
        <v>177</v>
      </c>
      <c r="D15" s="404" t="s">
        <v>1214</v>
      </c>
      <c r="E15" s="408">
        <v>230.0</v>
      </c>
      <c r="F15" s="410">
        <v>3.3</v>
      </c>
      <c r="G15" s="412"/>
      <c r="H15" s="425" t="s">
        <v>1216</v>
      </c>
      <c r="I15" s="414"/>
      <c r="J15" s="400"/>
      <c r="K15" s="400"/>
      <c r="L15" s="400"/>
      <c r="M15" s="400"/>
      <c r="N15" s="400"/>
    </row>
    <row r="16" ht="22.5" customHeight="1">
      <c r="A16" s="403">
        <v>46297.0</v>
      </c>
      <c r="B16" s="404">
        <v>14.0</v>
      </c>
      <c r="C16" s="404" t="s">
        <v>184</v>
      </c>
      <c r="D16" s="404" t="s">
        <v>1217</v>
      </c>
      <c r="E16" s="408">
        <v>200.0</v>
      </c>
      <c r="F16" s="410">
        <v>2.3</v>
      </c>
      <c r="G16" s="412"/>
      <c r="H16" s="425" t="s">
        <v>1219</v>
      </c>
      <c r="I16" s="426" t="s">
        <v>1220</v>
      </c>
      <c r="J16" s="400"/>
      <c r="K16" s="400"/>
      <c r="L16" s="400"/>
      <c r="M16" s="400"/>
      <c r="N16" s="400"/>
    </row>
    <row r="17" ht="22.5" customHeight="1">
      <c r="A17" s="403">
        <v>46298.0</v>
      </c>
      <c r="B17" s="404">
        <v>15.0</v>
      </c>
      <c r="C17" s="404" t="s">
        <v>196</v>
      </c>
      <c r="D17" s="404" t="s">
        <v>1222</v>
      </c>
      <c r="E17" s="408">
        <v>100.0</v>
      </c>
      <c r="F17" s="410">
        <v>1.3</v>
      </c>
      <c r="G17" s="412"/>
      <c r="H17" s="425" t="s">
        <v>1223</v>
      </c>
      <c r="I17" s="426" t="s">
        <v>1225</v>
      </c>
      <c r="J17" s="400"/>
      <c r="K17" s="400"/>
      <c r="L17" s="400"/>
      <c r="M17" s="400"/>
      <c r="N17" s="400"/>
    </row>
    <row r="18" ht="22.5" customHeight="1">
      <c r="A18" s="403">
        <v>46299.0</v>
      </c>
      <c r="B18" s="404">
        <v>16.0</v>
      </c>
      <c r="C18" s="404" t="s">
        <v>207</v>
      </c>
      <c r="D18" s="404" t="s">
        <v>1226</v>
      </c>
      <c r="E18" s="408">
        <v>330.0</v>
      </c>
      <c r="F18" s="410">
        <v>3.5</v>
      </c>
      <c r="G18" s="412"/>
      <c r="H18" s="425" t="s">
        <v>1227</v>
      </c>
      <c r="I18" s="414"/>
      <c r="J18" s="400"/>
      <c r="K18" s="400"/>
      <c r="L18" s="400"/>
      <c r="M18" s="400"/>
      <c r="N18" s="400"/>
    </row>
    <row r="19" ht="22.5" customHeight="1">
      <c r="A19" s="403">
        <v>46300.0</v>
      </c>
      <c r="B19" s="404">
        <v>17.0</v>
      </c>
      <c r="C19" s="404" t="s">
        <v>214</v>
      </c>
      <c r="D19" s="420" t="s">
        <v>1229</v>
      </c>
      <c r="E19" s="408">
        <v>140.0</v>
      </c>
      <c r="F19" s="410">
        <v>2.0</v>
      </c>
      <c r="G19" s="412"/>
      <c r="H19" s="425" t="s">
        <v>1230</v>
      </c>
      <c r="I19" s="426" t="s">
        <v>1231</v>
      </c>
      <c r="J19" s="400"/>
      <c r="K19" s="400"/>
      <c r="L19" s="400"/>
      <c r="M19" s="400"/>
      <c r="N19" s="400"/>
    </row>
    <row r="20" ht="22.5" customHeight="1">
      <c r="A20" s="403">
        <v>46301.0</v>
      </c>
      <c r="B20" s="404">
        <v>18.0</v>
      </c>
      <c r="C20" s="404" t="s">
        <v>237</v>
      </c>
      <c r="D20" s="404" t="s">
        <v>1232</v>
      </c>
      <c r="E20" s="408">
        <v>140.0</v>
      </c>
      <c r="F20" s="410">
        <v>2.0</v>
      </c>
      <c r="G20" s="412"/>
      <c r="H20" s="425" t="s">
        <v>1233</v>
      </c>
      <c r="I20" s="426" t="s">
        <v>1234</v>
      </c>
      <c r="J20" s="400"/>
      <c r="K20" s="400"/>
      <c r="L20" s="400"/>
      <c r="M20" s="400"/>
      <c r="N20" s="400"/>
    </row>
    <row r="21" ht="22.5" customHeight="1">
      <c r="A21" s="403">
        <v>46302.0</v>
      </c>
      <c r="B21" s="404">
        <v>19.0</v>
      </c>
      <c r="C21" s="404" t="s">
        <v>260</v>
      </c>
      <c r="D21" s="404" t="s">
        <v>1235</v>
      </c>
      <c r="E21" s="438"/>
      <c r="F21" s="439"/>
      <c r="G21" s="412"/>
      <c r="H21" s="425" t="s">
        <v>1236</v>
      </c>
      <c r="I21" s="426" t="s">
        <v>1237</v>
      </c>
      <c r="J21" s="400"/>
      <c r="K21" s="400"/>
      <c r="L21" s="400"/>
      <c r="M21" s="400"/>
      <c r="N21" s="400"/>
    </row>
    <row r="22" ht="22.5" customHeight="1">
      <c r="A22" s="403">
        <v>46303.0</v>
      </c>
      <c r="B22" s="404">
        <v>20.0</v>
      </c>
      <c r="C22" s="404" t="s">
        <v>260</v>
      </c>
      <c r="D22" s="433" t="s">
        <v>1238</v>
      </c>
      <c r="E22" s="438"/>
      <c r="F22" s="439"/>
      <c r="G22" s="412"/>
      <c r="H22" s="425" t="s">
        <v>1239</v>
      </c>
      <c r="I22" s="426" t="s">
        <v>1240</v>
      </c>
      <c r="J22" s="400"/>
      <c r="K22" s="400"/>
      <c r="L22" s="400"/>
      <c r="M22" s="400"/>
      <c r="N22" s="400"/>
    </row>
    <row r="23" ht="22.5" customHeight="1">
      <c r="A23" s="403">
        <v>46304.0</v>
      </c>
      <c r="B23" s="404">
        <v>21.0</v>
      </c>
      <c r="C23" s="404" t="s">
        <v>283</v>
      </c>
      <c r="D23" s="404" t="s">
        <v>1241</v>
      </c>
      <c r="E23" s="408">
        <v>280.0</v>
      </c>
      <c r="F23" s="410">
        <v>3.45</v>
      </c>
      <c r="G23" s="412"/>
      <c r="H23" s="425" t="s">
        <v>1242</v>
      </c>
      <c r="I23" s="426" t="s">
        <v>1243</v>
      </c>
      <c r="J23" s="400"/>
      <c r="K23" s="400"/>
      <c r="L23" s="400"/>
      <c r="M23" s="400"/>
      <c r="N23" s="400"/>
    </row>
    <row r="24" ht="22.5" customHeight="1">
      <c r="A24" s="403">
        <v>46305.0</v>
      </c>
      <c r="B24" s="404">
        <v>22.0</v>
      </c>
      <c r="C24" s="404" t="s">
        <v>292</v>
      </c>
      <c r="D24" s="453" t="s">
        <v>1244</v>
      </c>
      <c r="E24" s="438" t="s">
        <v>490</v>
      </c>
      <c r="F24" s="439" t="s">
        <v>490</v>
      </c>
      <c r="G24" s="404" t="s">
        <v>1245</v>
      </c>
      <c r="H24" s="425" t="s">
        <v>1246</v>
      </c>
      <c r="I24" s="414"/>
      <c r="J24" s="400"/>
      <c r="K24" s="400"/>
      <c r="L24" s="400"/>
      <c r="M24" s="400"/>
      <c r="N24" s="400"/>
    </row>
    <row r="25" ht="22.5" customHeight="1">
      <c r="A25" s="403">
        <v>46306.0</v>
      </c>
      <c r="B25" s="404">
        <v>23.0</v>
      </c>
      <c r="C25" s="404" t="s">
        <v>301</v>
      </c>
      <c r="D25" s="404" t="s">
        <v>1247</v>
      </c>
      <c r="E25" s="408">
        <v>530.0</v>
      </c>
      <c r="F25" s="410">
        <v>6.0</v>
      </c>
      <c r="G25" s="454"/>
      <c r="H25" s="425" t="s">
        <v>1248</v>
      </c>
      <c r="I25" s="414"/>
      <c r="J25" s="400"/>
      <c r="K25" s="400"/>
      <c r="L25" s="400"/>
      <c r="M25" s="400"/>
      <c r="N25" s="400"/>
    </row>
    <row r="26" ht="22.5" customHeight="1">
      <c r="A26" s="403">
        <v>46307.0</v>
      </c>
      <c r="B26" s="404">
        <v>24.0</v>
      </c>
      <c r="C26" s="404" t="s">
        <v>310</v>
      </c>
      <c r="D26" s="404" t="s">
        <v>1249</v>
      </c>
      <c r="E26" s="438" t="s">
        <v>490</v>
      </c>
      <c r="F26" s="439" t="s">
        <v>490</v>
      </c>
      <c r="G26" s="412"/>
      <c r="H26" s="425" t="s">
        <v>1250</v>
      </c>
      <c r="I26" s="426" t="s">
        <v>1251</v>
      </c>
      <c r="J26" s="400"/>
      <c r="K26" s="400"/>
      <c r="L26" s="400"/>
      <c r="M26" s="400"/>
      <c r="N26" s="400"/>
    </row>
    <row r="27" ht="22.5" customHeight="1">
      <c r="A27" s="403">
        <v>46308.0</v>
      </c>
      <c r="B27" s="404">
        <v>25.0</v>
      </c>
      <c r="C27" s="404" t="s">
        <v>323</v>
      </c>
      <c r="D27" s="404" t="s">
        <v>1252</v>
      </c>
      <c r="E27" s="408">
        <v>170.0</v>
      </c>
      <c r="F27" s="410">
        <v>3.3</v>
      </c>
      <c r="G27" s="412"/>
      <c r="H27" s="425" t="s">
        <v>1253</v>
      </c>
      <c r="I27" s="426" t="s">
        <v>1254</v>
      </c>
      <c r="J27" s="400"/>
      <c r="K27" s="400"/>
      <c r="L27" s="400"/>
      <c r="M27" s="400"/>
      <c r="N27" s="400"/>
    </row>
    <row r="28" ht="22.5" customHeight="1">
      <c r="A28" s="403">
        <v>46309.0</v>
      </c>
      <c r="B28" s="404">
        <v>26.0</v>
      </c>
      <c r="C28" s="404" t="s">
        <v>334</v>
      </c>
      <c r="D28" s="404" t="s">
        <v>1255</v>
      </c>
      <c r="E28" s="438" t="s">
        <v>490</v>
      </c>
      <c r="F28" s="439" t="s">
        <v>490</v>
      </c>
      <c r="G28" s="404"/>
      <c r="H28" s="425" t="s">
        <v>1256</v>
      </c>
      <c r="I28" s="426" t="s">
        <v>1260</v>
      </c>
      <c r="J28" s="400"/>
      <c r="K28" s="400"/>
      <c r="L28" s="400"/>
      <c r="M28" s="400"/>
      <c r="N28" s="400"/>
    </row>
    <row r="29" ht="22.5" customHeight="1">
      <c r="A29" s="403">
        <v>46310.0</v>
      </c>
      <c r="B29" s="404">
        <v>27.0</v>
      </c>
      <c r="C29" s="404" t="s">
        <v>341</v>
      </c>
      <c r="D29" s="404" t="s">
        <v>1262</v>
      </c>
      <c r="E29" s="408">
        <v>310.0</v>
      </c>
      <c r="F29" s="410">
        <v>4.15</v>
      </c>
      <c r="G29" s="412"/>
      <c r="H29" s="425" t="s">
        <v>1263</v>
      </c>
      <c r="I29" s="426" t="s">
        <v>1266</v>
      </c>
      <c r="J29" s="400"/>
      <c r="K29" s="400"/>
      <c r="L29" s="400"/>
      <c r="M29" s="400"/>
      <c r="N29" s="400"/>
    </row>
    <row r="30" ht="22.5" customHeight="1">
      <c r="A30" s="403">
        <v>46311.0</v>
      </c>
      <c r="B30" s="404">
        <v>28.0</v>
      </c>
      <c r="C30" s="404" t="s">
        <v>1267</v>
      </c>
      <c r="D30" s="404" t="s">
        <v>1268</v>
      </c>
      <c r="E30" s="438" t="s">
        <v>490</v>
      </c>
      <c r="F30" s="439" t="s">
        <v>490</v>
      </c>
      <c r="G30" s="459"/>
      <c r="H30" s="414"/>
      <c r="I30" s="414"/>
      <c r="J30" s="400"/>
      <c r="K30" s="400"/>
      <c r="L30" s="400"/>
      <c r="M30" s="400"/>
      <c r="N30" s="400"/>
    </row>
    <row r="31">
      <c r="A31" s="400"/>
      <c r="B31" s="460"/>
      <c r="C31" s="400"/>
      <c r="D31" s="461"/>
      <c r="E31" s="461"/>
      <c r="F31" s="400"/>
      <c r="G31" s="400"/>
      <c r="H31" s="400"/>
      <c r="I31" s="400"/>
      <c r="J31" s="400"/>
      <c r="K31" s="400"/>
      <c r="L31" s="400"/>
      <c r="M31" s="400"/>
      <c r="N31" s="400"/>
    </row>
    <row r="32">
      <c r="A32" s="400"/>
      <c r="B32" s="460"/>
      <c r="C32" s="400"/>
      <c r="D32" s="461"/>
      <c r="E32" s="461"/>
      <c r="F32" s="400"/>
      <c r="G32" s="400"/>
      <c r="H32" s="400"/>
      <c r="I32" s="400"/>
      <c r="J32" s="400"/>
      <c r="K32" s="400"/>
      <c r="L32" s="400"/>
      <c r="M32" s="400"/>
      <c r="N32" s="400"/>
    </row>
    <row r="33">
      <c r="A33" s="400"/>
      <c r="B33" s="460"/>
      <c r="C33" s="400"/>
      <c r="D33" s="461"/>
      <c r="E33" s="461"/>
      <c r="F33" s="400"/>
      <c r="G33" s="400"/>
      <c r="H33" s="400"/>
      <c r="I33" s="400"/>
      <c r="J33" s="400"/>
      <c r="K33" s="400"/>
      <c r="L33" s="400"/>
      <c r="M33" s="400"/>
      <c r="N33" s="400"/>
    </row>
    <row r="34">
      <c r="A34" s="400"/>
      <c r="B34" s="460"/>
      <c r="C34" s="400"/>
      <c r="D34" s="461"/>
      <c r="E34" s="461"/>
      <c r="F34" s="400"/>
      <c r="G34" s="400"/>
      <c r="H34" s="400"/>
      <c r="I34" s="400"/>
      <c r="J34" s="400"/>
      <c r="K34" s="400"/>
      <c r="L34" s="400"/>
      <c r="M34" s="400"/>
      <c r="N34" s="400"/>
    </row>
    <row r="35">
      <c r="A35" s="400"/>
      <c r="B35" s="460"/>
      <c r="C35" s="400"/>
      <c r="D35" s="461"/>
      <c r="E35" s="461"/>
      <c r="F35" s="400"/>
      <c r="G35" s="400"/>
      <c r="H35" s="400"/>
      <c r="I35" s="400"/>
      <c r="J35" s="400"/>
      <c r="K35" s="400"/>
      <c r="L35" s="400"/>
      <c r="M35" s="400"/>
      <c r="N35" s="400"/>
    </row>
    <row r="36">
      <c r="A36" s="400"/>
      <c r="B36" s="460"/>
      <c r="C36" s="400"/>
      <c r="D36" s="461"/>
      <c r="E36" s="461"/>
      <c r="F36" s="400"/>
      <c r="G36" s="400"/>
      <c r="H36" s="400"/>
      <c r="I36" s="400"/>
      <c r="J36" s="400"/>
      <c r="K36" s="400"/>
      <c r="L36" s="400"/>
      <c r="M36" s="400"/>
      <c r="N36" s="400"/>
    </row>
    <row r="37">
      <c r="A37" s="400"/>
      <c r="B37" s="460"/>
      <c r="C37" s="400"/>
      <c r="D37" s="461"/>
      <c r="E37" s="461"/>
      <c r="F37" s="400"/>
      <c r="G37" s="400"/>
      <c r="H37" s="400"/>
      <c r="I37" s="400"/>
      <c r="J37" s="400"/>
      <c r="K37" s="400"/>
      <c r="L37" s="400"/>
      <c r="M37" s="400"/>
      <c r="N37" s="400"/>
    </row>
    <row r="38">
      <c r="A38" s="400"/>
      <c r="B38" s="460"/>
      <c r="C38" s="400"/>
      <c r="D38" s="461"/>
      <c r="E38" s="461"/>
      <c r="F38" s="400"/>
      <c r="G38" s="400"/>
      <c r="H38" s="400"/>
      <c r="I38" s="400"/>
      <c r="J38" s="400"/>
      <c r="K38" s="400"/>
      <c r="L38" s="400"/>
      <c r="M38" s="400"/>
      <c r="N38" s="400"/>
    </row>
    <row r="39">
      <c r="A39" s="400"/>
      <c r="B39" s="460"/>
      <c r="C39" s="400"/>
      <c r="D39" s="461"/>
      <c r="E39" s="461"/>
      <c r="F39" s="400"/>
      <c r="G39" s="400"/>
      <c r="H39" s="400"/>
      <c r="I39" s="400"/>
      <c r="J39" s="400"/>
      <c r="K39" s="400"/>
      <c r="L39" s="400"/>
      <c r="M39" s="400"/>
      <c r="N39" s="400"/>
    </row>
    <row r="40">
      <c r="A40" s="400"/>
      <c r="B40" s="460"/>
      <c r="C40" s="400"/>
      <c r="D40" s="461"/>
      <c r="E40" s="461"/>
      <c r="F40" s="400"/>
      <c r="G40" s="400"/>
      <c r="H40" s="400"/>
      <c r="I40" s="400"/>
      <c r="J40" s="400"/>
      <c r="K40" s="400"/>
      <c r="L40" s="400"/>
      <c r="M40" s="400"/>
      <c r="N40" s="400"/>
    </row>
    <row r="41">
      <c r="A41" s="400"/>
      <c r="B41" s="400"/>
      <c r="C41" s="400"/>
      <c r="D41" s="464"/>
      <c r="E41" s="464"/>
      <c r="F41" s="400"/>
      <c r="G41" s="400"/>
      <c r="H41" s="400"/>
      <c r="I41" s="400"/>
      <c r="J41" s="400"/>
      <c r="K41" s="400"/>
      <c r="L41" s="400"/>
      <c r="M41" s="400"/>
      <c r="N41" s="400"/>
    </row>
    <row r="42">
      <c r="A42" s="400"/>
      <c r="B42" s="400"/>
      <c r="C42" s="400"/>
      <c r="D42" s="464"/>
      <c r="E42" s="464"/>
      <c r="F42" s="400"/>
      <c r="G42" s="400"/>
      <c r="H42" s="400"/>
      <c r="I42" s="400"/>
      <c r="J42" s="400"/>
      <c r="K42" s="400"/>
      <c r="L42" s="400"/>
      <c r="M42" s="400"/>
      <c r="N42" s="400"/>
    </row>
    <row r="43">
      <c r="A43" s="465"/>
      <c r="B43" s="465"/>
      <c r="C43" s="400"/>
      <c r="D43" s="464"/>
      <c r="E43" s="464"/>
      <c r="F43" s="400"/>
      <c r="G43" s="400"/>
      <c r="H43" s="400"/>
      <c r="I43" s="400"/>
      <c r="J43" s="400"/>
      <c r="K43" s="400"/>
      <c r="L43" s="400"/>
      <c r="M43" s="400"/>
      <c r="N43" s="400"/>
    </row>
    <row r="44">
      <c r="A44" s="400"/>
      <c r="B44" s="400"/>
      <c r="C44" s="400"/>
      <c r="D44" s="464"/>
      <c r="E44" s="464"/>
      <c r="F44" s="400"/>
      <c r="G44" s="400"/>
      <c r="H44" s="400"/>
      <c r="I44" s="400"/>
      <c r="J44" s="400"/>
      <c r="K44" s="400"/>
      <c r="L44" s="400"/>
      <c r="M44" s="400"/>
      <c r="N44" s="400"/>
    </row>
    <row r="45">
      <c r="A45" s="400"/>
      <c r="B45" s="400"/>
      <c r="C45" s="400"/>
      <c r="D45" s="464"/>
      <c r="E45" s="464"/>
      <c r="F45" s="400"/>
      <c r="G45" s="400"/>
      <c r="H45" s="400"/>
      <c r="I45" s="400"/>
      <c r="J45" s="400"/>
      <c r="K45" s="400"/>
      <c r="L45" s="400"/>
      <c r="M45" s="400"/>
      <c r="N45" s="400"/>
    </row>
    <row r="46">
      <c r="A46" s="400"/>
      <c r="B46" s="400"/>
      <c r="C46" s="400"/>
      <c r="D46" s="464"/>
      <c r="E46" s="464"/>
      <c r="F46" s="400"/>
      <c r="G46" s="400"/>
      <c r="H46" s="400"/>
      <c r="I46" s="400"/>
      <c r="J46" s="400"/>
      <c r="K46" s="400"/>
      <c r="L46" s="400"/>
      <c r="M46" s="400"/>
      <c r="N46" s="400"/>
    </row>
    <row r="47">
      <c r="A47" s="400"/>
      <c r="B47" s="400"/>
      <c r="C47" s="400"/>
      <c r="D47" s="464"/>
      <c r="E47" s="464"/>
      <c r="F47" s="400"/>
      <c r="G47" s="400"/>
      <c r="H47" s="400"/>
      <c r="I47" s="400"/>
      <c r="J47" s="400"/>
      <c r="K47" s="400"/>
      <c r="L47" s="400"/>
      <c r="M47" s="400"/>
      <c r="N47" s="400"/>
    </row>
    <row r="48">
      <c r="A48" s="400"/>
      <c r="B48" s="400"/>
      <c r="C48" s="400"/>
      <c r="D48" s="464"/>
      <c r="E48" s="464"/>
      <c r="F48" s="400"/>
      <c r="G48" s="400"/>
      <c r="H48" s="400"/>
      <c r="I48" s="400"/>
      <c r="J48" s="400"/>
      <c r="K48" s="400"/>
      <c r="L48" s="400"/>
      <c r="M48" s="400"/>
      <c r="N48" s="400"/>
    </row>
    <row r="49">
      <c r="A49" s="400"/>
      <c r="B49" s="400"/>
      <c r="C49" s="400"/>
      <c r="D49" s="464"/>
      <c r="E49" s="464"/>
      <c r="F49" s="400"/>
      <c r="G49" s="400"/>
      <c r="H49" s="400"/>
      <c r="I49" s="400"/>
      <c r="J49" s="400"/>
      <c r="K49" s="400"/>
      <c r="L49" s="400"/>
      <c r="M49" s="400"/>
      <c r="N49" s="400"/>
    </row>
    <row r="50">
      <c r="A50" s="400"/>
      <c r="B50" s="400"/>
      <c r="C50" s="400"/>
      <c r="D50" s="464"/>
      <c r="E50" s="464"/>
      <c r="F50" s="400"/>
      <c r="G50" s="400"/>
      <c r="H50" s="400"/>
      <c r="I50" s="400"/>
      <c r="J50" s="400"/>
      <c r="K50" s="400"/>
      <c r="L50" s="400"/>
      <c r="M50" s="400"/>
      <c r="N50" s="400"/>
    </row>
    <row r="51">
      <c r="A51" s="400"/>
      <c r="B51" s="400"/>
      <c r="C51" s="400"/>
      <c r="D51" s="464"/>
      <c r="E51" s="464"/>
      <c r="F51" s="400"/>
      <c r="G51" s="400"/>
      <c r="H51" s="400"/>
      <c r="I51" s="400"/>
      <c r="J51" s="400"/>
      <c r="K51" s="400"/>
      <c r="L51" s="400"/>
      <c r="M51" s="400"/>
      <c r="N51" s="400"/>
    </row>
    <row r="52">
      <c r="A52" s="400"/>
      <c r="B52" s="400"/>
      <c r="C52" s="400"/>
      <c r="D52" s="464"/>
      <c r="E52" s="464"/>
      <c r="F52" s="400"/>
      <c r="G52" s="400"/>
      <c r="H52" s="400"/>
      <c r="I52" s="400"/>
      <c r="J52" s="400"/>
      <c r="K52" s="400"/>
      <c r="L52" s="400"/>
      <c r="M52" s="400"/>
      <c r="N52" s="400"/>
    </row>
    <row r="53">
      <c r="A53" s="400"/>
      <c r="B53" s="400"/>
      <c r="C53" s="400"/>
      <c r="D53" s="464"/>
      <c r="E53" s="464"/>
      <c r="F53" s="400"/>
      <c r="G53" s="400"/>
      <c r="H53" s="400"/>
      <c r="I53" s="400"/>
      <c r="J53" s="400"/>
      <c r="K53" s="400"/>
      <c r="L53" s="400"/>
      <c r="M53" s="400"/>
      <c r="N53" s="400"/>
    </row>
    <row r="54">
      <c r="A54" s="400"/>
      <c r="B54" s="400"/>
      <c r="C54" s="400"/>
      <c r="D54" s="464"/>
      <c r="E54" s="464"/>
      <c r="F54" s="400"/>
      <c r="G54" s="400"/>
      <c r="H54" s="400"/>
      <c r="I54" s="400"/>
      <c r="J54" s="400"/>
      <c r="K54" s="400"/>
      <c r="L54" s="400"/>
      <c r="M54" s="400"/>
      <c r="N54" s="400"/>
    </row>
    <row r="55">
      <c r="A55" s="400"/>
      <c r="B55" s="400"/>
      <c r="C55" s="400"/>
      <c r="D55" s="464"/>
      <c r="E55" s="464"/>
      <c r="F55" s="400"/>
      <c r="G55" s="400"/>
      <c r="H55" s="400"/>
      <c r="I55" s="400"/>
      <c r="J55" s="400"/>
      <c r="K55" s="400"/>
      <c r="L55" s="400"/>
      <c r="M55" s="400"/>
      <c r="N55" s="400"/>
    </row>
    <row r="56">
      <c r="A56" s="400"/>
      <c r="B56" s="400"/>
      <c r="C56" s="400"/>
      <c r="D56" s="464"/>
      <c r="E56" s="464"/>
      <c r="F56" s="400"/>
      <c r="G56" s="400"/>
      <c r="H56" s="400"/>
      <c r="I56" s="400"/>
      <c r="J56" s="400"/>
      <c r="K56" s="400"/>
      <c r="L56" s="400"/>
      <c r="M56" s="400"/>
      <c r="N56" s="400"/>
    </row>
    <row r="57">
      <c r="A57" s="400"/>
      <c r="B57" s="400"/>
      <c r="C57" s="400"/>
      <c r="D57" s="464"/>
      <c r="E57" s="464"/>
      <c r="F57" s="400"/>
      <c r="G57" s="400"/>
      <c r="H57" s="400"/>
      <c r="I57" s="400"/>
      <c r="J57" s="400"/>
      <c r="K57" s="400"/>
      <c r="L57" s="400"/>
      <c r="M57" s="400"/>
      <c r="N57" s="400"/>
    </row>
    <row r="58">
      <c r="A58" s="400"/>
      <c r="B58" s="400"/>
      <c r="C58" s="400"/>
      <c r="D58" s="464"/>
      <c r="E58" s="464"/>
      <c r="F58" s="400"/>
      <c r="G58" s="400"/>
      <c r="H58" s="400"/>
      <c r="I58" s="400"/>
      <c r="J58" s="400"/>
      <c r="K58" s="400"/>
      <c r="L58" s="400"/>
      <c r="M58" s="400"/>
      <c r="N58" s="400"/>
    </row>
    <row r="59">
      <c r="A59" s="400"/>
      <c r="B59" s="400"/>
      <c r="C59" s="400"/>
      <c r="D59" s="464"/>
      <c r="E59" s="464"/>
      <c r="F59" s="400"/>
      <c r="G59" s="400"/>
      <c r="H59" s="400"/>
      <c r="I59" s="400"/>
      <c r="J59" s="400"/>
      <c r="K59" s="400"/>
      <c r="L59" s="400"/>
      <c r="M59" s="400"/>
      <c r="N59" s="400"/>
    </row>
    <row r="60">
      <c r="A60" s="400"/>
      <c r="B60" s="400"/>
      <c r="C60" s="400"/>
      <c r="D60" s="464"/>
      <c r="E60" s="464"/>
      <c r="F60" s="400"/>
      <c r="G60" s="400"/>
      <c r="H60" s="400"/>
      <c r="I60" s="400"/>
      <c r="J60" s="400"/>
      <c r="K60" s="400"/>
      <c r="L60" s="400"/>
      <c r="M60" s="400"/>
      <c r="N60" s="400"/>
    </row>
    <row r="61">
      <c r="A61" s="400"/>
      <c r="B61" s="400"/>
      <c r="C61" s="400"/>
      <c r="D61" s="464"/>
      <c r="E61" s="464"/>
      <c r="F61" s="400"/>
      <c r="G61" s="400"/>
      <c r="H61" s="400"/>
      <c r="I61" s="400"/>
      <c r="J61" s="400"/>
      <c r="K61" s="400"/>
      <c r="L61" s="400"/>
      <c r="M61" s="400"/>
      <c r="N61" s="400"/>
    </row>
    <row r="62">
      <c r="A62" s="400"/>
      <c r="B62" s="400"/>
      <c r="C62" s="400"/>
      <c r="D62" s="464"/>
      <c r="E62" s="464"/>
      <c r="F62" s="400"/>
      <c r="G62" s="400"/>
      <c r="H62" s="400"/>
      <c r="I62" s="400"/>
      <c r="J62" s="400"/>
      <c r="K62" s="400"/>
      <c r="L62" s="400"/>
      <c r="M62" s="400"/>
      <c r="N62" s="400"/>
    </row>
    <row r="63">
      <c r="A63" s="400"/>
      <c r="B63" s="400"/>
      <c r="C63" s="400"/>
      <c r="D63" s="464"/>
      <c r="E63" s="464"/>
      <c r="F63" s="400"/>
      <c r="G63" s="400"/>
      <c r="H63" s="400"/>
      <c r="I63" s="400"/>
      <c r="J63" s="400"/>
      <c r="K63" s="400"/>
      <c r="L63" s="400"/>
      <c r="M63" s="400"/>
      <c r="N63" s="400"/>
    </row>
    <row r="64">
      <c r="A64" s="400"/>
      <c r="B64" s="400"/>
      <c r="C64" s="400"/>
      <c r="D64" s="464"/>
      <c r="E64" s="464"/>
      <c r="F64" s="400"/>
      <c r="G64" s="400"/>
      <c r="H64" s="400"/>
      <c r="I64" s="400"/>
      <c r="J64" s="400"/>
      <c r="K64" s="400"/>
      <c r="L64" s="400"/>
      <c r="M64" s="400"/>
      <c r="N64" s="400"/>
    </row>
    <row r="65">
      <c r="A65" s="400"/>
      <c r="B65" s="400"/>
      <c r="C65" s="400"/>
      <c r="D65" s="464"/>
      <c r="E65" s="464"/>
      <c r="F65" s="400"/>
      <c r="G65" s="400"/>
      <c r="H65" s="400"/>
      <c r="I65" s="400"/>
      <c r="J65" s="400"/>
      <c r="K65" s="400"/>
      <c r="L65" s="400"/>
      <c r="M65" s="400"/>
      <c r="N65" s="400"/>
    </row>
    <row r="66">
      <c r="A66" s="400"/>
      <c r="B66" s="400"/>
      <c r="C66" s="400"/>
      <c r="D66" s="464"/>
      <c r="E66" s="464"/>
      <c r="F66" s="400"/>
      <c r="G66" s="400"/>
      <c r="H66" s="400"/>
      <c r="I66" s="400"/>
      <c r="J66" s="400"/>
      <c r="K66" s="400"/>
      <c r="L66" s="400"/>
      <c r="M66" s="400"/>
      <c r="N66" s="400"/>
    </row>
    <row r="67">
      <c r="A67" s="400"/>
      <c r="B67" s="400"/>
      <c r="C67" s="400"/>
      <c r="D67" s="464"/>
      <c r="E67" s="464"/>
      <c r="F67" s="400"/>
      <c r="G67" s="400"/>
      <c r="H67" s="400"/>
      <c r="I67" s="400"/>
      <c r="J67" s="400"/>
      <c r="K67" s="400"/>
      <c r="L67" s="400"/>
      <c r="M67" s="400"/>
      <c r="N67" s="400"/>
    </row>
    <row r="68">
      <c r="A68" s="400"/>
      <c r="B68" s="400"/>
      <c r="C68" s="400"/>
      <c r="D68" s="464"/>
      <c r="E68" s="464"/>
      <c r="F68" s="400"/>
      <c r="G68" s="400"/>
      <c r="H68" s="400"/>
      <c r="I68" s="400"/>
      <c r="J68" s="400"/>
      <c r="K68" s="400"/>
      <c r="L68" s="400"/>
      <c r="M68" s="400"/>
      <c r="N68" s="400"/>
    </row>
    <row r="69">
      <c r="A69" s="400"/>
      <c r="B69" s="400"/>
      <c r="C69" s="400"/>
      <c r="D69" s="464"/>
      <c r="E69" s="464"/>
      <c r="F69" s="400"/>
      <c r="G69" s="400"/>
      <c r="H69" s="400"/>
      <c r="I69" s="400"/>
      <c r="J69" s="400"/>
      <c r="K69" s="400"/>
      <c r="L69" s="400"/>
      <c r="M69" s="400"/>
      <c r="N69" s="400"/>
    </row>
    <row r="70">
      <c r="A70" s="400"/>
      <c r="B70" s="400"/>
      <c r="C70" s="400"/>
      <c r="D70" s="464"/>
      <c r="E70" s="464"/>
      <c r="F70" s="400"/>
      <c r="G70" s="400"/>
      <c r="H70" s="400"/>
      <c r="I70" s="400"/>
      <c r="J70" s="400"/>
      <c r="K70" s="400"/>
      <c r="L70" s="400"/>
      <c r="M70" s="400"/>
      <c r="N70" s="400"/>
    </row>
    <row r="71">
      <c r="A71" s="400"/>
      <c r="B71" s="400"/>
      <c r="C71" s="400"/>
      <c r="D71" s="464"/>
      <c r="E71" s="464"/>
      <c r="F71" s="400"/>
      <c r="G71" s="400"/>
      <c r="H71" s="400"/>
      <c r="I71" s="400"/>
      <c r="J71" s="400"/>
      <c r="K71" s="400"/>
      <c r="L71" s="400"/>
      <c r="M71" s="400"/>
      <c r="N71" s="400"/>
    </row>
    <row r="72">
      <c r="A72" s="400"/>
      <c r="B72" s="400"/>
      <c r="C72" s="400"/>
      <c r="D72" s="464"/>
      <c r="E72" s="464"/>
      <c r="F72" s="400"/>
      <c r="G72" s="400"/>
      <c r="H72" s="400"/>
      <c r="I72" s="400"/>
      <c r="J72" s="400"/>
      <c r="K72" s="400"/>
      <c r="L72" s="400"/>
      <c r="M72" s="400"/>
      <c r="N72" s="400"/>
    </row>
    <row r="73">
      <c r="A73" s="400"/>
      <c r="B73" s="400"/>
      <c r="C73" s="400"/>
      <c r="D73" s="464"/>
      <c r="E73" s="464"/>
      <c r="F73" s="400"/>
      <c r="G73" s="400"/>
      <c r="H73" s="400"/>
      <c r="I73" s="400"/>
      <c r="J73" s="400"/>
      <c r="K73" s="400"/>
      <c r="L73" s="400"/>
      <c r="M73" s="400"/>
      <c r="N73" s="400"/>
    </row>
    <row r="74">
      <c r="A74" s="400"/>
      <c r="B74" s="400"/>
      <c r="C74" s="400"/>
      <c r="D74" s="464"/>
      <c r="E74" s="464"/>
      <c r="F74" s="400"/>
      <c r="G74" s="400"/>
      <c r="H74" s="400"/>
      <c r="I74" s="400"/>
      <c r="J74" s="400"/>
      <c r="K74" s="400"/>
      <c r="L74" s="400"/>
      <c r="M74" s="400"/>
      <c r="N74" s="400"/>
    </row>
    <row r="75">
      <c r="A75" s="400"/>
      <c r="B75" s="400"/>
      <c r="C75" s="400"/>
      <c r="D75" s="464"/>
      <c r="E75" s="464"/>
      <c r="F75" s="400"/>
      <c r="G75" s="400"/>
      <c r="H75" s="400"/>
      <c r="I75" s="400"/>
      <c r="J75" s="400"/>
      <c r="K75" s="400"/>
      <c r="L75" s="400"/>
      <c r="M75" s="400"/>
      <c r="N75" s="400"/>
    </row>
    <row r="76">
      <c r="A76" s="400"/>
      <c r="B76" s="400"/>
      <c r="C76" s="400"/>
      <c r="D76" s="464"/>
      <c r="E76" s="464"/>
      <c r="F76" s="400"/>
      <c r="G76" s="400"/>
      <c r="H76" s="400"/>
      <c r="I76" s="400"/>
      <c r="J76" s="400"/>
      <c r="K76" s="400"/>
      <c r="L76" s="400"/>
      <c r="M76" s="400"/>
      <c r="N76" s="400"/>
    </row>
    <row r="77">
      <c r="A77" s="400"/>
      <c r="B77" s="400"/>
      <c r="C77" s="400"/>
      <c r="D77" s="464"/>
      <c r="E77" s="464"/>
      <c r="F77" s="400"/>
      <c r="G77" s="400"/>
      <c r="H77" s="400"/>
      <c r="I77" s="400"/>
      <c r="J77" s="400"/>
      <c r="K77" s="400"/>
      <c r="L77" s="400"/>
      <c r="M77" s="400"/>
      <c r="N77" s="400"/>
    </row>
    <row r="78">
      <c r="A78" s="400"/>
      <c r="B78" s="400"/>
      <c r="C78" s="400"/>
      <c r="D78" s="464"/>
      <c r="E78" s="464"/>
      <c r="F78" s="400"/>
      <c r="G78" s="400"/>
      <c r="H78" s="400"/>
      <c r="I78" s="400"/>
      <c r="J78" s="400"/>
      <c r="K78" s="400"/>
      <c r="L78" s="400"/>
      <c r="M78" s="400"/>
      <c r="N78" s="400"/>
    </row>
    <row r="79">
      <c r="A79" s="400"/>
      <c r="B79" s="400"/>
      <c r="C79" s="400"/>
      <c r="D79" s="464"/>
      <c r="E79" s="464"/>
      <c r="F79" s="400"/>
      <c r="G79" s="400"/>
      <c r="H79" s="400"/>
      <c r="I79" s="400"/>
      <c r="J79" s="400"/>
      <c r="K79" s="400"/>
      <c r="L79" s="400"/>
      <c r="M79" s="400"/>
      <c r="N79" s="400"/>
    </row>
    <row r="80">
      <c r="A80" s="400"/>
      <c r="B80" s="400"/>
      <c r="C80" s="400"/>
      <c r="D80" s="464"/>
      <c r="E80" s="464"/>
      <c r="F80" s="400"/>
      <c r="G80" s="400"/>
      <c r="H80" s="400"/>
      <c r="I80" s="400"/>
      <c r="J80" s="400"/>
      <c r="K80" s="400"/>
      <c r="L80" s="400"/>
      <c r="M80" s="400"/>
      <c r="N80" s="400"/>
    </row>
    <row r="81">
      <c r="A81" s="400"/>
      <c r="B81" s="400"/>
      <c r="C81" s="400"/>
      <c r="D81" s="464"/>
      <c r="E81" s="464"/>
      <c r="F81" s="400"/>
      <c r="G81" s="400"/>
      <c r="H81" s="400"/>
      <c r="I81" s="400"/>
      <c r="J81" s="400"/>
      <c r="K81" s="400"/>
      <c r="L81" s="400"/>
      <c r="M81" s="400"/>
      <c r="N81" s="400"/>
    </row>
    <row r="82">
      <c r="A82" s="400"/>
      <c r="B82" s="400"/>
      <c r="C82" s="400"/>
      <c r="D82" s="464"/>
      <c r="E82" s="464"/>
      <c r="F82" s="400"/>
      <c r="G82" s="400"/>
      <c r="H82" s="400"/>
      <c r="I82" s="400"/>
      <c r="J82" s="400"/>
      <c r="K82" s="400"/>
      <c r="L82" s="400"/>
      <c r="M82" s="400"/>
      <c r="N82" s="400"/>
    </row>
    <row r="83">
      <c r="A83" s="400"/>
      <c r="B83" s="400"/>
      <c r="C83" s="400"/>
      <c r="D83" s="464"/>
      <c r="E83" s="464"/>
      <c r="F83" s="400"/>
      <c r="G83" s="400"/>
      <c r="H83" s="400"/>
      <c r="I83" s="400"/>
      <c r="J83" s="400"/>
      <c r="K83" s="400"/>
      <c r="L83" s="400"/>
      <c r="M83" s="400"/>
      <c r="N83" s="400"/>
    </row>
    <row r="84">
      <c r="A84" s="400"/>
      <c r="B84" s="400"/>
      <c r="C84" s="400"/>
      <c r="D84" s="464"/>
      <c r="E84" s="464"/>
      <c r="F84" s="400"/>
      <c r="G84" s="400"/>
      <c r="H84" s="400"/>
      <c r="I84" s="400"/>
      <c r="J84" s="400"/>
      <c r="K84" s="400"/>
      <c r="L84" s="400"/>
      <c r="M84" s="400"/>
      <c r="N84" s="400"/>
    </row>
    <row r="85">
      <c r="A85" s="400"/>
      <c r="B85" s="400"/>
      <c r="C85" s="400"/>
      <c r="D85" s="464"/>
      <c r="E85" s="464"/>
      <c r="F85" s="400"/>
      <c r="G85" s="400"/>
      <c r="H85" s="400"/>
      <c r="I85" s="400"/>
      <c r="J85" s="400"/>
      <c r="K85" s="400"/>
      <c r="L85" s="400"/>
      <c r="M85" s="400"/>
      <c r="N85" s="400"/>
    </row>
    <row r="86">
      <c r="A86" s="400"/>
      <c r="B86" s="400"/>
      <c r="C86" s="400"/>
      <c r="D86" s="464"/>
      <c r="E86" s="464"/>
      <c r="F86" s="400"/>
      <c r="G86" s="400"/>
      <c r="H86" s="400"/>
      <c r="I86" s="400"/>
      <c r="J86" s="400"/>
      <c r="K86" s="400"/>
      <c r="L86" s="400"/>
      <c r="M86" s="400"/>
      <c r="N86" s="400"/>
    </row>
    <row r="87">
      <c r="A87" s="400"/>
      <c r="B87" s="400"/>
      <c r="C87" s="400"/>
      <c r="D87" s="464"/>
      <c r="E87" s="464"/>
      <c r="F87" s="400"/>
      <c r="G87" s="400"/>
      <c r="H87" s="400"/>
      <c r="I87" s="400"/>
      <c r="J87" s="400"/>
      <c r="K87" s="400"/>
      <c r="L87" s="400"/>
      <c r="M87" s="400"/>
      <c r="N87" s="400"/>
    </row>
    <row r="88">
      <c r="A88" s="400"/>
      <c r="B88" s="400"/>
      <c r="C88" s="400"/>
      <c r="D88" s="464"/>
      <c r="E88" s="464"/>
      <c r="F88" s="400"/>
      <c r="G88" s="400"/>
      <c r="H88" s="400"/>
      <c r="I88" s="400"/>
      <c r="J88" s="400"/>
      <c r="K88" s="400"/>
      <c r="L88" s="400"/>
      <c r="M88" s="400"/>
      <c r="N88" s="400"/>
    </row>
    <row r="89">
      <c r="A89" s="400"/>
      <c r="B89" s="400"/>
      <c r="C89" s="400"/>
      <c r="D89" s="464"/>
      <c r="E89" s="464"/>
      <c r="F89" s="400"/>
      <c r="G89" s="400"/>
      <c r="H89" s="400"/>
      <c r="I89" s="400"/>
      <c r="J89" s="400"/>
      <c r="K89" s="400"/>
      <c r="L89" s="400"/>
      <c r="M89" s="400"/>
      <c r="N89" s="400"/>
    </row>
    <row r="90">
      <c r="A90" s="400"/>
      <c r="B90" s="400"/>
      <c r="C90" s="400"/>
      <c r="D90" s="464"/>
      <c r="E90" s="464"/>
      <c r="F90" s="400"/>
      <c r="G90" s="400"/>
      <c r="H90" s="400"/>
      <c r="I90" s="400"/>
      <c r="J90" s="400"/>
      <c r="K90" s="400"/>
      <c r="L90" s="400"/>
      <c r="M90" s="400"/>
      <c r="N90" s="400"/>
    </row>
    <row r="91">
      <c r="A91" s="400"/>
      <c r="B91" s="400"/>
      <c r="C91" s="400"/>
      <c r="D91" s="464"/>
      <c r="E91" s="464"/>
      <c r="F91" s="400"/>
      <c r="G91" s="400"/>
      <c r="H91" s="400"/>
      <c r="I91" s="400"/>
      <c r="J91" s="400"/>
      <c r="K91" s="400"/>
      <c r="L91" s="400"/>
      <c r="M91" s="400"/>
      <c r="N91" s="400"/>
    </row>
    <row r="92">
      <c r="A92" s="400"/>
      <c r="B92" s="400"/>
      <c r="C92" s="400"/>
      <c r="D92" s="464"/>
      <c r="E92" s="464"/>
      <c r="F92" s="400"/>
      <c r="G92" s="400"/>
      <c r="H92" s="400"/>
      <c r="I92" s="400"/>
      <c r="J92" s="400"/>
      <c r="K92" s="400"/>
      <c r="L92" s="400"/>
      <c r="M92" s="400"/>
      <c r="N92" s="400"/>
    </row>
    <row r="93">
      <c r="A93" s="400"/>
      <c r="B93" s="400"/>
      <c r="C93" s="400"/>
      <c r="D93" s="464"/>
      <c r="E93" s="464"/>
      <c r="F93" s="400"/>
      <c r="G93" s="400"/>
      <c r="H93" s="400"/>
      <c r="I93" s="400"/>
      <c r="J93" s="400"/>
      <c r="K93" s="400"/>
      <c r="L93" s="400"/>
      <c r="M93" s="400"/>
      <c r="N93" s="400"/>
    </row>
    <row r="94">
      <c r="A94" s="400"/>
      <c r="B94" s="400"/>
      <c r="C94" s="400"/>
      <c r="D94" s="464"/>
      <c r="E94" s="464"/>
      <c r="F94" s="400"/>
      <c r="G94" s="400"/>
      <c r="H94" s="400"/>
      <c r="I94" s="400"/>
      <c r="J94" s="400"/>
      <c r="K94" s="400"/>
      <c r="L94" s="400"/>
      <c r="M94" s="400"/>
      <c r="N94" s="400"/>
    </row>
    <row r="95">
      <c r="A95" s="400"/>
      <c r="B95" s="400"/>
      <c r="C95" s="400"/>
      <c r="D95" s="464"/>
      <c r="E95" s="464"/>
      <c r="F95" s="400"/>
      <c r="G95" s="400"/>
      <c r="H95" s="400"/>
      <c r="I95" s="400"/>
      <c r="J95" s="400"/>
      <c r="K95" s="400"/>
      <c r="L95" s="400"/>
      <c r="M95" s="400"/>
      <c r="N95" s="400"/>
    </row>
    <row r="96">
      <c r="A96" s="400"/>
      <c r="B96" s="400"/>
      <c r="C96" s="400"/>
      <c r="D96" s="464"/>
      <c r="E96" s="464"/>
      <c r="F96" s="400"/>
      <c r="G96" s="400"/>
      <c r="H96" s="400"/>
      <c r="I96" s="400"/>
      <c r="J96" s="400"/>
      <c r="K96" s="400"/>
      <c r="L96" s="400"/>
      <c r="M96" s="400"/>
      <c r="N96" s="400"/>
    </row>
    <row r="97">
      <c r="A97" s="400"/>
      <c r="B97" s="400"/>
      <c r="C97" s="400"/>
      <c r="D97" s="464"/>
      <c r="E97" s="464"/>
      <c r="F97" s="400"/>
      <c r="G97" s="400"/>
      <c r="H97" s="400"/>
      <c r="I97" s="400"/>
      <c r="J97" s="400"/>
      <c r="K97" s="400"/>
      <c r="L97" s="400"/>
      <c r="M97" s="400"/>
      <c r="N97" s="400"/>
    </row>
    <row r="98">
      <c r="A98" s="400"/>
      <c r="B98" s="400"/>
      <c r="C98" s="400"/>
      <c r="D98" s="464"/>
      <c r="E98" s="464"/>
      <c r="F98" s="400"/>
      <c r="G98" s="400"/>
      <c r="H98" s="400"/>
      <c r="I98" s="400"/>
      <c r="J98" s="400"/>
      <c r="K98" s="400"/>
      <c r="L98" s="400"/>
      <c r="M98" s="400"/>
      <c r="N98" s="400"/>
    </row>
    <row r="99">
      <c r="A99" s="400"/>
      <c r="B99" s="400"/>
      <c r="C99" s="400"/>
      <c r="D99" s="464"/>
      <c r="E99" s="464"/>
      <c r="F99" s="400"/>
      <c r="G99" s="400"/>
      <c r="H99" s="400"/>
      <c r="I99" s="400"/>
      <c r="J99" s="400"/>
      <c r="K99" s="400"/>
      <c r="L99" s="400"/>
      <c r="M99" s="400"/>
      <c r="N99" s="400"/>
    </row>
    <row r="100">
      <c r="A100" s="400"/>
      <c r="B100" s="400"/>
      <c r="C100" s="400"/>
      <c r="D100" s="464"/>
      <c r="E100" s="464"/>
      <c r="F100" s="400"/>
      <c r="G100" s="400"/>
      <c r="H100" s="400"/>
      <c r="I100" s="400"/>
      <c r="J100" s="400"/>
      <c r="K100" s="400"/>
      <c r="L100" s="400"/>
      <c r="M100" s="400"/>
      <c r="N100" s="400"/>
    </row>
    <row r="101">
      <c r="A101" s="400"/>
      <c r="B101" s="400"/>
      <c r="C101" s="400"/>
      <c r="D101" s="464"/>
      <c r="E101" s="464"/>
      <c r="F101" s="400"/>
      <c r="G101" s="400"/>
      <c r="H101" s="400"/>
      <c r="I101" s="400"/>
      <c r="J101" s="400"/>
      <c r="K101" s="400"/>
      <c r="L101" s="400"/>
      <c r="M101" s="400"/>
      <c r="N101" s="400"/>
    </row>
    <row r="102">
      <c r="A102" s="400"/>
      <c r="B102" s="400"/>
      <c r="C102" s="400"/>
      <c r="D102" s="464"/>
      <c r="E102" s="464"/>
      <c r="F102" s="400"/>
      <c r="G102" s="400"/>
      <c r="H102" s="400"/>
      <c r="I102" s="400"/>
      <c r="J102" s="400"/>
      <c r="K102" s="400"/>
      <c r="L102" s="400"/>
      <c r="M102" s="400"/>
      <c r="N102" s="400"/>
    </row>
    <row r="103">
      <c r="A103" s="400"/>
      <c r="B103" s="400"/>
      <c r="C103" s="400"/>
      <c r="D103" s="464"/>
      <c r="E103" s="464"/>
      <c r="F103" s="400"/>
      <c r="G103" s="400"/>
      <c r="H103" s="400"/>
      <c r="I103" s="400"/>
      <c r="J103" s="400"/>
      <c r="K103" s="400"/>
      <c r="L103" s="400"/>
      <c r="M103" s="400"/>
      <c r="N103" s="400"/>
    </row>
    <row r="104">
      <c r="A104" s="400"/>
      <c r="B104" s="400"/>
      <c r="C104" s="400"/>
      <c r="D104" s="464"/>
      <c r="E104" s="464"/>
      <c r="F104" s="400"/>
      <c r="G104" s="400"/>
      <c r="H104" s="400"/>
      <c r="I104" s="400"/>
      <c r="J104" s="400"/>
      <c r="K104" s="400"/>
      <c r="L104" s="400"/>
      <c r="M104" s="400"/>
      <c r="N104" s="400"/>
    </row>
    <row r="105">
      <c r="A105" s="400"/>
      <c r="B105" s="400"/>
      <c r="C105" s="400"/>
      <c r="D105" s="464"/>
      <c r="E105" s="464"/>
      <c r="F105" s="400"/>
      <c r="G105" s="400"/>
      <c r="H105" s="400"/>
      <c r="I105" s="400"/>
      <c r="J105" s="400"/>
      <c r="K105" s="400"/>
      <c r="L105" s="400"/>
      <c r="M105" s="400"/>
      <c r="N105" s="400"/>
    </row>
    <row r="106">
      <c r="A106" s="400"/>
      <c r="B106" s="400"/>
      <c r="C106" s="400"/>
      <c r="D106" s="464"/>
      <c r="E106" s="464"/>
      <c r="F106" s="400"/>
      <c r="G106" s="400"/>
      <c r="H106" s="400"/>
      <c r="I106" s="400"/>
      <c r="J106" s="400"/>
      <c r="K106" s="400"/>
      <c r="L106" s="400"/>
      <c r="M106" s="400"/>
      <c r="N106" s="400"/>
    </row>
    <row r="107">
      <c r="A107" s="400"/>
      <c r="B107" s="400"/>
      <c r="C107" s="400"/>
      <c r="D107" s="464"/>
      <c r="E107" s="464"/>
      <c r="F107" s="400"/>
      <c r="G107" s="400"/>
      <c r="H107" s="400"/>
      <c r="I107" s="400"/>
      <c r="J107" s="400"/>
      <c r="K107" s="400"/>
      <c r="L107" s="400"/>
      <c r="M107" s="400"/>
      <c r="N107" s="400"/>
    </row>
    <row r="108">
      <c r="A108" s="400"/>
      <c r="B108" s="400"/>
      <c r="C108" s="400"/>
      <c r="D108" s="464"/>
      <c r="E108" s="464"/>
      <c r="F108" s="400"/>
      <c r="G108" s="400"/>
      <c r="H108" s="400"/>
      <c r="I108" s="400"/>
      <c r="J108" s="400"/>
      <c r="K108" s="400"/>
      <c r="L108" s="400"/>
      <c r="M108" s="400"/>
      <c r="N108" s="400"/>
    </row>
    <row r="109">
      <c r="A109" s="400"/>
      <c r="B109" s="400"/>
      <c r="C109" s="400"/>
      <c r="D109" s="464"/>
      <c r="E109" s="464"/>
      <c r="F109" s="400"/>
      <c r="G109" s="400"/>
      <c r="H109" s="400"/>
      <c r="I109" s="400"/>
      <c r="J109" s="400"/>
      <c r="K109" s="400"/>
      <c r="L109" s="400"/>
      <c r="M109" s="400"/>
      <c r="N109" s="400"/>
    </row>
    <row r="110">
      <c r="A110" s="400"/>
      <c r="B110" s="400"/>
      <c r="C110" s="400"/>
      <c r="D110" s="464"/>
      <c r="E110" s="464"/>
      <c r="F110" s="400"/>
      <c r="G110" s="400"/>
      <c r="H110" s="400"/>
      <c r="I110" s="400"/>
      <c r="J110" s="400"/>
      <c r="K110" s="400"/>
      <c r="L110" s="400"/>
      <c r="M110" s="400"/>
      <c r="N110" s="400"/>
    </row>
    <row r="111">
      <c r="A111" s="400"/>
      <c r="B111" s="400"/>
      <c r="C111" s="400"/>
      <c r="D111" s="464"/>
      <c r="E111" s="464"/>
      <c r="F111" s="400"/>
      <c r="G111" s="400"/>
      <c r="H111" s="400"/>
      <c r="I111" s="400"/>
      <c r="J111" s="400"/>
      <c r="K111" s="400"/>
      <c r="L111" s="400"/>
      <c r="M111" s="400"/>
      <c r="N111" s="400"/>
    </row>
    <row r="112">
      <c r="A112" s="400"/>
      <c r="B112" s="400"/>
      <c r="C112" s="400"/>
      <c r="D112" s="464"/>
      <c r="E112" s="464"/>
      <c r="F112" s="400"/>
      <c r="G112" s="400"/>
      <c r="H112" s="400"/>
      <c r="I112" s="400"/>
      <c r="J112" s="400"/>
      <c r="K112" s="400"/>
      <c r="L112" s="400"/>
      <c r="M112" s="400"/>
      <c r="N112" s="400"/>
    </row>
    <row r="113">
      <c r="A113" s="400"/>
      <c r="B113" s="400"/>
      <c r="C113" s="400"/>
      <c r="D113" s="464"/>
      <c r="E113" s="464"/>
      <c r="F113" s="400"/>
      <c r="G113" s="400"/>
      <c r="H113" s="400"/>
      <c r="I113" s="400"/>
      <c r="J113" s="400"/>
      <c r="K113" s="400"/>
      <c r="L113" s="400"/>
      <c r="M113" s="400"/>
      <c r="N113" s="400"/>
    </row>
    <row r="114">
      <c r="A114" s="400"/>
      <c r="B114" s="400"/>
      <c r="C114" s="400"/>
      <c r="D114" s="464"/>
      <c r="E114" s="464"/>
      <c r="F114" s="400"/>
      <c r="G114" s="400"/>
      <c r="H114" s="400"/>
      <c r="I114" s="400"/>
      <c r="J114" s="400"/>
      <c r="K114" s="400"/>
      <c r="L114" s="400"/>
      <c r="M114" s="400"/>
      <c r="N114" s="400"/>
    </row>
    <row r="115">
      <c r="A115" s="400"/>
      <c r="B115" s="400"/>
      <c r="C115" s="400"/>
      <c r="D115" s="464"/>
      <c r="E115" s="464"/>
      <c r="F115" s="400"/>
      <c r="G115" s="400"/>
      <c r="H115" s="400"/>
      <c r="I115" s="400"/>
      <c r="J115" s="400"/>
      <c r="K115" s="400"/>
      <c r="L115" s="400"/>
      <c r="M115" s="400"/>
      <c r="N115" s="400"/>
    </row>
    <row r="116">
      <c r="A116" s="400"/>
      <c r="B116" s="400"/>
      <c r="C116" s="400"/>
      <c r="D116" s="464"/>
      <c r="E116" s="464"/>
      <c r="F116" s="400"/>
      <c r="G116" s="400"/>
      <c r="H116" s="400"/>
      <c r="I116" s="400"/>
      <c r="J116" s="400"/>
      <c r="K116" s="400"/>
      <c r="L116" s="400"/>
      <c r="M116" s="400"/>
      <c r="N116" s="400"/>
    </row>
    <row r="117">
      <c r="A117" s="400"/>
      <c r="B117" s="400"/>
      <c r="C117" s="400"/>
      <c r="D117" s="464"/>
      <c r="E117" s="464"/>
      <c r="F117" s="400"/>
      <c r="G117" s="400"/>
      <c r="H117" s="400"/>
      <c r="I117" s="400"/>
      <c r="J117" s="400"/>
      <c r="K117" s="400"/>
      <c r="L117" s="400"/>
      <c r="M117" s="400"/>
      <c r="N117" s="400"/>
    </row>
    <row r="118">
      <c r="A118" s="400"/>
      <c r="B118" s="400"/>
      <c r="C118" s="400"/>
      <c r="D118" s="464"/>
      <c r="E118" s="464"/>
      <c r="F118" s="400"/>
      <c r="G118" s="400"/>
      <c r="H118" s="400"/>
      <c r="I118" s="400"/>
      <c r="J118" s="400"/>
      <c r="K118" s="400"/>
      <c r="L118" s="400"/>
      <c r="M118" s="400"/>
      <c r="N118" s="400"/>
    </row>
    <row r="119">
      <c r="A119" s="400"/>
      <c r="B119" s="400"/>
      <c r="C119" s="400"/>
      <c r="D119" s="464"/>
      <c r="E119" s="464"/>
      <c r="F119" s="400"/>
      <c r="G119" s="400"/>
      <c r="H119" s="400"/>
      <c r="I119" s="400"/>
      <c r="J119" s="400"/>
      <c r="K119" s="400"/>
      <c r="L119" s="400"/>
      <c r="M119" s="400"/>
      <c r="N119" s="400"/>
    </row>
    <row r="120">
      <c r="A120" s="400"/>
      <c r="B120" s="400"/>
      <c r="C120" s="400"/>
      <c r="D120" s="464"/>
      <c r="E120" s="464"/>
      <c r="F120" s="400"/>
      <c r="G120" s="400"/>
      <c r="H120" s="400"/>
      <c r="I120" s="400"/>
      <c r="J120" s="400"/>
      <c r="K120" s="400"/>
      <c r="L120" s="400"/>
      <c r="M120" s="400"/>
      <c r="N120" s="400"/>
    </row>
    <row r="121">
      <c r="A121" s="400"/>
      <c r="B121" s="400"/>
      <c r="C121" s="400"/>
      <c r="D121" s="464"/>
      <c r="E121" s="464"/>
      <c r="F121" s="400"/>
      <c r="G121" s="400"/>
      <c r="H121" s="400"/>
      <c r="I121" s="400"/>
      <c r="J121" s="400"/>
      <c r="K121" s="400"/>
      <c r="L121" s="400"/>
      <c r="M121" s="400"/>
      <c r="N121" s="400"/>
    </row>
    <row r="122">
      <c r="A122" s="400"/>
      <c r="B122" s="400"/>
      <c r="C122" s="400"/>
      <c r="D122" s="464"/>
      <c r="E122" s="464"/>
      <c r="F122" s="400"/>
      <c r="G122" s="400"/>
      <c r="H122" s="400"/>
      <c r="I122" s="400"/>
      <c r="J122" s="400"/>
      <c r="K122" s="400"/>
      <c r="L122" s="400"/>
      <c r="M122" s="400"/>
      <c r="N122" s="400"/>
    </row>
    <row r="123">
      <c r="A123" s="400"/>
      <c r="B123" s="400"/>
      <c r="C123" s="400"/>
      <c r="D123" s="464"/>
      <c r="E123" s="464"/>
      <c r="F123" s="400"/>
      <c r="G123" s="400"/>
      <c r="H123" s="400"/>
      <c r="I123" s="400"/>
      <c r="J123" s="400"/>
      <c r="K123" s="400"/>
      <c r="L123" s="400"/>
      <c r="M123" s="400"/>
      <c r="N123" s="400"/>
    </row>
    <row r="124">
      <c r="A124" s="400"/>
      <c r="B124" s="400"/>
      <c r="C124" s="400"/>
      <c r="D124" s="464"/>
      <c r="E124" s="464"/>
      <c r="F124" s="400"/>
      <c r="G124" s="400"/>
      <c r="H124" s="400"/>
      <c r="I124" s="400"/>
      <c r="J124" s="400"/>
      <c r="K124" s="400"/>
      <c r="L124" s="400"/>
      <c r="M124" s="400"/>
      <c r="N124" s="400"/>
    </row>
    <row r="125">
      <c r="A125" s="400"/>
      <c r="B125" s="400"/>
      <c r="C125" s="400"/>
      <c r="D125" s="464"/>
      <c r="E125" s="464"/>
      <c r="F125" s="400"/>
      <c r="G125" s="400"/>
      <c r="H125" s="400"/>
      <c r="I125" s="400"/>
      <c r="J125" s="400"/>
      <c r="K125" s="400"/>
      <c r="L125" s="400"/>
      <c r="M125" s="400"/>
      <c r="N125" s="400"/>
    </row>
    <row r="126">
      <c r="A126" s="400"/>
      <c r="B126" s="400"/>
      <c r="C126" s="400"/>
      <c r="D126" s="464"/>
      <c r="E126" s="464"/>
      <c r="F126" s="400"/>
      <c r="G126" s="400"/>
      <c r="H126" s="400"/>
      <c r="I126" s="400"/>
      <c r="J126" s="400"/>
      <c r="K126" s="400"/>
      <c r="L126" s="400"/>
      <c r="M126" s="400"/>
      <c r="N126" s="400"/>
    </row>
    <row r="127">
      <c r="A127" s="400"/>
      <c r="B127" s="400"/>
      <c r="C127" s="400"/>
      <c r="D127" s="464"/>
      <c r="E127" s="464"/>
      <c r="F127" s="400"/>
      <c r="G127" s="400"/>
      <c r="H127" s="400"/>
      <c r="I127" s="400"/>
      <c r="J127" s="400"/>
      <c r="K127" s="400"/>
      <c r="L127" s="400"/>
      <c r="M127" s="400"/>
      <c r="N127" s="400"/>
    </row>
    <row r="128">
      <c r="A128" s="400"/>
      <c r="B128" s="400"/>
      <c r="C128" s="400"/>
      <c r="D128" s="464"/>
      <c r="E128" s="464"/>
      <c r="F128" s="400"/>
      <c r="G128" s="400"/>
      <c r="H128" s="400"/>
      <c r="I128" s="400"/>
      <c r="J128" s="400"/>
      <c r="K128" s="400"/>
      <c r="L128" s="400"/>
      <c r="M128" s="400"/>
      <c r="N128" s="400"/>
    </row>
    <row r="129">
      <c r="A129" s="400"/>
      <c r="B129" s="400"/>
      <c r="C129" s="400"/>
      <c r="D129" s="464"/>
      <c r="E129" s="464"/>
      <c r="F129" s="400"/>
      <c r="G129" s="400"/>
      <c r="H129" s="400"/>
      <c r="I129" s="400"/>
      <c r="J129" s="400"/>
      <c r="K129" s="400"/>
      <c r="L129" s="400"/>
      <c r="M129" s="400"/>
      <c r="N129" s="400"/>
    </row>
    <row r="130">
      <c r="A130" s="400"/>
      <c r="B130" s="400"/>
      <c r="C130" s="400"/>
      <c r="D130" s="464"/>
      <c r="E130" s="464"/>
      <c r="F130" s="400"/>
      <c r="G130" s="400"/>
      <c r="H130" s="400"/>
      <c r="I130" s="400"/>
      <c r="J130" s="400"/>
      <c r="K130" s="400"/>
      <c r="L130" s="400"/>
      <c r="M130" s="400"/>
      <c r="N130" s="400"/>
    </row>
    <row r="131">
      <c r="A131" s="400"/>
      <c r="B131" s="400"/>
      <c r="C131" s="400"/>
      <c r="D131" s="464"/>
      <c r="E131" s="464"/>
      <c r="F131" s="400"/>
      <c r="G131" s="400"/>
      <c r="H131" s="400"/>
      <c r="I131" s="400"/>
      <c r="J131" s="400"/>
      <c r="K131" s="400"/>
      <c r="L131" s="400"/>
      <c r="M131" s="400"/>
      <c r="N131" s="400"/>
    </row>
    <row r="132">
      <c r="A132" s="400"/>
      <c r="B132" s="400"/>
      <c r="C132" s="400"/>
      <c r="D132" s="464"/>
      <c r="E132" s="464"/>
      <c r="F132" s="400"/>
      <c r="G132" s="400"/>
      <c r="H132" s="400"/>
      <c r="I132" s="400"/>
      <c r="J132" s="400"/>
      <c r="K132" s="400"/>
      <c r="L132" s="400"/>
      <c r="M132" s="400"/>
      <c r="N132" s="400"/>
    </row>
    <row r="133">
      <c r="A133" s="400"/>
      <c r="B133" s="400"/>
      <c r="C133" s="400"/>
      <c r="D133" s="464"/>
      <c r="E133" s="464"/>
      <c r="F133" s="400"/>
      <c r="G133" s="400"/>
      <c r="H133" s="400"/>
      <c r="I133" s="400"/>
      <c r="J133" s="400"/>
      <c r="K133" s="400"/>
      <c r="L133" s="400"/>
      <c r="M133" s="400"/>
      <c r="N133" s="400"/>
    </row>
    <row r="134">
      <c r="A134" s="400"/>
      <c r="B134" s="400"/>
      <c r="C134" s="400"/>
      <c r="D134" s="464"/>
      <c r="E134" s="464"/>
      <c r="F134" s="400"/>
      <c r="G134" s="400"/>
      <c r="H134" s="400"/>
      <c r="I134" s="400"/>
      <c r="J134" s="400"/>
      <c r="K134" s="400"/>
      <c r="L134" s="400"/>
      <c r="M134" s="400"/>
      <c r="N134" s="400"/>
    </row>
    <row r="135">
      <c r="A135" s="400"/>
      <c r="B135" s="400"/>
      <c r="C135" s="400"/>
      <c r="D135" s="464"/>
      <c r="E135" s="464"/>
      <c r="F135" s="400"/>
      <c r="G135" s="400"/>
      <c r="H135" s="400"/>
      <c r="I135" s="400"/>
      <c r="J135" s="400"/>
      <c r="K135" s="400"/>
      <c r="L135" s="400"/>
      <c r="M135" s="400"/>
      <c r="N135" s="400"/>
    </row>
    <row r="136">
      <c r="A136" s="400"/>
      <c r="B136" s="400"/>
      <c r="C136" s="400"/>
      <c r="D136" s="464"/>
      <c r="E136" s="464"/>
      <c r="F136" s="400"/>
      <c r="G136" s="400"/>
      <c r="H136" s="400"/>
      <c r="I136" s="400"/>
      <c r="J136" s="400"/>
      <c r="K136" s="400"/>
      <c r="L136" s="400"/>
      <c r="M136" s="400"/>
      <c r="N136" s="400"/>
    </row>
    <row r="137">
      <c r="A137" s="400"/>
      <c r="B137" s="400"/>
      <c r="C137" s="400"/>
      <c r="D137" s="464"/>
      <c r="E137" s="464"/>
      <c r="F137" s="400"/>
      <c r="G137" s="400"/>
      <c r="H137" s="400"/>
      <c r="I137" s="400"/>
      <c r="J137" s="400"/>
      <c r="K137" s="400"/>
      <c r="L137" s="400"/>
      <c r="M137" s="400"/>
      <c r="N137" s="400"/>
    </row>
    <row r="138">
      <c r="A138" s="400"/>
      <c r="B138" s="400"/>
      <c r="C138" s="400"/>
      <c r="D138" s="464"/>
      <c r="E138" s="464"/>
      <c r="F138" s="400"/>
      <c r="G138" s="400"/>
      <c r="H138" s="400"/>
      <c r="I138" s="400"/>
      <c r="J138" s="400"/>
      <c r="K138" s="400"/>
      <c r="L138" s="400"/>
      <c r="M138" s="400"/>
      <c r="N138" s="400"/>
    </row>
    <row r="139">
      <c r="A139" s="400"/>
      <c r="B139" s="400"/>
      <c r="C139" s="400"/>
      <c r="D139" s="464"/>
      <c r="E139" s="464"/>
      <c r="F139" s="400"/>
      <c r="G139" s="400"/>
      <c r="H139" s="400"/>
      <c r="I139" s="400"/>
      <c r="J139" s="400"/>
      <c r="K139" s="400"/>
      <c r="L139" s="400"/>
      <c r="M139" s="400"/>
      <c r="N139" s="400"/>
    </row>
    <row r="140">
      <c r="A140" s="400"/>
      <c r="B140" s="400"/>
      <c r="C140" s="400"/>
      <c r="D140" s="464"/>
      <c r="E140" s="464"/>
      <c r="F140" s="400"/>
      <c r="G140" s="400"/>
      <c r="H140" s="400"/>
      <c r="I140" s="400"/>
      <c r="J140" s="400"/>
      <c r="K140" s="400"/>
      <c r="L140" s="400"/>
      <c r="M140" s="400"/>
      <c r="N140" s="400"/>
    </row>
    <row r="141">
      <c r="A141" s="400"/>
      <c r="B141" s="400"/>
      <c r="C141" s="400"/>
      <c r="D141" s="464"/>
      <c r="E141" s="464"/>
      <c r="F141" s="400"/>
      <c r="G141" s="400"/>
      <c r="H141" s="400"/>
      <c r="I141" s="400"/>
      <c r="J141" s="400"/>
      <c r="K141" s="400"/>
      <c r="L141" s="400"/>
      <c r="M141" s="400"/>
      <c r="N141" s="400"/>
    </row>
    <row r="142">
      <c r="A142" s="400"/>
      <c r="B142" s="400"/>
      <c r="C142" s="400"/>
      <c r="D142" s="464"/>
      <c r="E142" s="464"/>
      <c r="F142" s="400"/>
      <c r="G142" s="400"/>
      <c r="H142" s="400"/>
      <c r="I142" s="400"/>
      <c r="J142" s="400"/>
      <c r="K142" s="400"/>
      <c r="L142" s="400"/>
      <c r="M142" s="400"/>
      <c r="N142" s="400"/>
    </row>
    <row r="143">
      <c r="A143" s="400"/>
      <c r="B143" s="400"/>
      <c r="C143" s="400"/>
      <c r="D143" s="464"/>
      <c r="E143" s="464"/>
      <c r="F143" s="400"/>
      <c r="G143" s="400"/>
      <c r="H143" s="400"/>
      <c r="I143" s="400"/>
      <c r="J143" s="400"/>
      <c r="K143" s="400"/>
      <c r="L143" s="400"/>
      <c r="M143" s="400"/>
      <c r="N143" s="400"/>
    </row>
    <row r="144">
      <c r="A144" s="400"/>
      <c r="B144" s="400"/>
      <c r="C144" s="400"/>
      <c r="D144" s="464"/>
      <c r="E144" s="464"/>
      <c r="F144" s="400"/>
      <c r="G144" s="400"/>
      <c r="H144" s="400"/>
      <c r="I144" s="400"/>
      <c r="J144" s="400"/>
      <c r="K144" s="400"/>
      <c r="L144" s="400"/>
      <c r="M144" s="400"/>
      <c r="N144" s="400"/>
    </row>
    <row r="145">
      <c r="A145" s="400"/>
      <c r="B145" s="400"/>
      <c r="C145" s="400"/>
      <c r="D145" s="464"/>
      <c r="E145" s="464"/>
      <c r="F145" s="400"/>
      <c r="G145" s="400"/>
      <c r="H145" s="400"/>
      <c r="I145" s="400"/>
      <c r="J145" s="400"/>
      <c r="K145" s="400"/>
      <c r="L145" s="400"/>
      <c r="M145" s="400"/>
      <c r="N145" s="400"/>
    </row>
    <row r="146">
      <c r="A146" s="400"/>
      <c r="B146" s="400"/>
      <c r="C146" s="400"/>
      <c r="D146" s="464"/>
      <c r="E146" s="464"/>
      <c r="F146" s="400"/>
      <c r="G146" s="400"/>
      <c r="H146" s="400"/>
      <c r="I146" s="400"/>
      <c r="J146" s="400"/>
      <c r="K146" s="400"/>
      <c r="L146" s="400"/>
      <c r="M146" s="400"/>
      <c r="N146" s="400"/>
    </row>
    <row r="147">
      <c r="A147" s="400"/>
      <c r="B147" s="400"/>
      <c r="C147" s="400"/>
      <c r="D147" s="464"/>
      <c r="E147" s="464"/>
      <c r="F147" s="400"/>
      <c r="G147" s="400"/>
      <c r="H147" s="400"/>
      <c r="I147" s="400"/>
      <c r="J147" s="400"/>
      <c r="K147" s="400"/>
      <c r="L147" s="400"/>
      <c r="M147" s="400"/>
      <c r="N147" s="400"/>
    </row>
    <row r="148">
      <c r="A148" s="400"/>
      <c r="B148" s="400"/>
      <c r="C148" s="400"/>
      <c r="D148" s="464"/>
      <c r="E148" s="464"/>
      <c r="F148" s="400"/>
      <c r="G148" s="400"/>
      <c r="H148" s="400"/>
      <c r="I148" s="400"/>
      <c r="J148" s="400"/>
      <c r="K148" s="400"/>
      <c r="L148" s="400"/>
      <c r="M148" s="400"/>
      <c r="N148" s="400"/>
    </row>
    <row r="149">
      <c r="A149" s="400"/>
      <c r="B149" s="400"/>
      <c r="C149" s="400"/>
      <c r="D149" s="464"/>
      <c r="E149" s="464"/>
      <c r="F149" s="400"/>
      <c r="G149" s="400"/>
      <c r="H149" s="400"/>
      <c r="I149" s="400"/>
      <c r="J149" s="400"/>
      <c r="K149" s="400"/>
      <c r="L149" s="400"/>
      <c r="M149" s="400"/>
      <c r="N149" s="400"/>
    </row>
    <row r="150">
      <c r="A150" s="400"/>
      <c r="B150" s="400"/>
      <c r="C150" s="400"/>
      <c r="D150" s="464"/>
      <c r="E150" s="464"/>
      <c r="F150" s="400"/>
      <c r="G150" s="400"/>
      <c r="H150" s="400"/>
      <c r="I150" s="400"/>
      <c r="J150" s="400"/>
      <c r="K150" s="400"/>
      <c r="L150" s="400"/>
      <c r="M150" s="400"/>
      <c r="N150" s="400"/>
    </row>
    <row r="151">
      <c r="A151" s="400"/>
      <c r="B151" s="400"/>
      <c r="C151" s="400"/>
      <c r="D151" s="464"/>
      <c r="E151" s="464"/>
      <c r="F151" s="400"/>
      <c r="G151" s="400"/>
      <c r="H151" s="400"/>
      <c r="I151" s="400"/>
      <c r="J151" s="400"/>
      <c r="K151" s="400"/>
      <c r="L151" s="400"/>
      <c r="M151" s="400"/>
      <c r="N151" s="400"/>
    </row>
    <row r="152">
      <c r="A152" s="400"/>
      <c r="B152" s="400"/>
      <c r="C152" s="400"/>
      <c r="D152" s="464"/>
      <c r="E152" s="464"/>
      <c r="F152" s="400"/>
      <c r="G152" s="400"/>
      <c r="H152" s="400"/>
      <c r="I152" s="400"/>
      <c r="J152" s="400"/>
      <c r="K152" s="400"/>
      <c r="L152" s="400"/>
      <c r="M152" s="400"/>
      <c r="N152" s="400"/>
    </row>
    <row r="153">
      <c r="A153" s="400"/>
      <c r="B153" s="400"/>
      <c r="C153" s="400"/>
      <c r="D153" s="464"/>
      <c r="E153" s="464"/>
      <c r="F153" s="400"/>
      <c r="G153" s="400"/>
      <c r="H153" s="400"/>
      <c r="I153" s="400"/>
      <c r="J153" s="400"/>
      <c r="K153" s="400"/>
      <c r="L153" s="400"/>
      <c r="M153" s="400"/>
      <c r="N153" s="400"/>
    </row>
    <row r="154">
      <c r="A154" s="400"/>
      <c r="B154" s="400"/>
      <c r="C154" s="400"/>
      <c r="D154" s="464"/>
      <c r="E154" s="464"/>
      <c r="F154" s="400"/>
      <c r="G154" s="400"/>
      <c r="H154" s="400"/>
      <c r="I154" s="400"/>
      <c r="J154" s="400"/>
      <c r="K154" s="400"/>
      <c r="L154" s="400"/>
      <c r="M154" s="400"/>
      <c r="N154" s="400"/>
    </row>
    <row r="155">
      <c r="A155" s="400"/>
      <c r="B155" s="400"/>
      <c r="C155" s="400"/>
      <c r="D155" s="464"/>
      <c r="E155" s="464"/>
      <c r="F155" s="400"/>
      <c r="G155" s="400"/>
      <c r="H155" s="400"/>
      <c r="I155" s="400"/>
      <c r="J155" s="400"/>
      <c r="K155" s="400"/>
      <c r="L155" s="400"/>
      <c r="M155" s="400"/>
      <c r="N155" s="400"/>
    </row>
    <row r="156">
      <c r="A156" s="400"/>
      <c r="B156" s="400"/>
      <c r="C156" s="400"/>
      <c r="D156" s="464"/>
      <c r="E156" s="464"/>
      <c r="F156" s="400"/>
      <c r="G156" s="400"/>
      <c r="H156" s="400"/>
      <c r="I156" s="400"/>
      <c r="J156" s="400"/>
      <c r="K156" s="400"/>
      <c r="L156" s="400"/>
      <c r="M156" s="400"/>
      <c r="N156" s="400"/>
    </row>
    <row r="157">
      <c r="A157" s="400"/>
      <c r="B157" s="400"/>
      <c r="C157" s="400"/>
      <c r="D157" s="464"/>
      <c r="E157" s="464"/>
      <c r="F157" s="400"/>
      <c r="G157" s="400"/>
      <c r="H157" s="400"/>
      <c r="I157" s="400"/>
      <c r="J157" s="400"/>
      <c r="K157" s="400"/>
      <c r="L157" s="400"/>
      <c r="M157" s="400"/>
      <c r="N157" s="400"/>
    </row>
    <row r="158">
      <c r="A158" s="400"/>
      <c r="B158" s="400"/>
      <c r="C158" s="400"/>
      <c r="D158" s="464"/>
      <c r="E158" s="464"/>
      <c r="F158" s="400"/>
      <c r="G158" s="400"/>
      <c r="H158" s="400"/>
      <c r="I158" s="400"/>
      <c r="J158" s="400"/>
      <c r="K158" s="400"/>
      <c r="L158" s="400"/>
      <c r="M158" s="400"/>
      <c r="N158" s="400"/>
    </row>
    <row r="159">
      <c r="A159" s="400"/>
      <c r="B159" s="400"/>
      <c r="C159" s="400"/>
      <c r="D159" s="464"/>
      <c r="E159" s="464"/>
      <c r="F159" s="400"/>
      <c r="G159" s="400"/>
      <c r="H159" s="400"/>
      <c r="I159" s="400"/>
      <c r="J159" s="400"/>
      <c r="K159" s="400"/>
      <c r="L159" s="400"/>
      <c r="M159" s="400"/>
      <c r="N159" s="400"/>
    </row>
    <row r="160">
      <c r="A160" s="400"/>
      <c r="B160" s="400"/>
      <c r="C160" s="400"/>
      <c r="D160" s="464"/>
      <c r="E160" s="464"/>
      <c r="F160" s="400"/>
      <c r="G160" s="400"/>
      <c r="H160" s="400"/>
      <c r="I160" s="400"/>
      <c r="J160" s="400"/>
      <c r="K160" s="400"/>
      <c r="L160" s="400"/>
      <c r="M160" s="400"/>
      <c r="N160" s="400"/>
    </row>
    <row r="161">
      <c r="A161" s="400"/>
      <c r="B161" s="400"/>
      <c r="C161" s="400"/>
      <c r="D161" s="464"/>
      <c r="E161" s="464"/>
      <c r="F161" s="400"/>
      <c r="G161" s="400"/>
      <c r="H161" s="400"/>
      <c r="I161" s="400"/>
      <c r="J161" s="400"/>
      <c r="K161" s="400"/>
      <c r="L161" s="400"/>
      <c r="M161" s="400"/>
      <c r="N161" s="400"/>
    </row>
    <row r="162">
      <c r="A162" s="400"/>
      <c r="B162" s="400"/>
      <c r="C162" s="400"/>
      <c r="D162" s="464"/>
      <c r="E162" s="464"/>
      <c r="F162" s="400"/>
      <c r="G162" s="400"/>
      <c r="H162" s="400"/>
      <c r="I162" s="400"/>
      <c r="J162" s="400"/>
      <c r="K162" s="400"/>
      <c r="L162" s="400"/>
      <c r="M162" s="400"/>
      <c r="N162" s="400"/>
    </row>
    <row r="163">
      <c r="A163" s="400"/>
      <c r="B163" s="400"/>
      <c r="C163" s="400"/>
      <c r="D163" s="464"/>
      <c r="E163" s="464"/>
      <c r="F163" s="400"/>
      <c r="G163" s="400"/>
      <c r="H163" s="400"/>
      <c r="I163" s="400"/>
      <c r="J163" s="400"/>
      <c r="K163" s="400"/>
      <c r="L163" s="400"/>
      <c r="M163" s="400"/>
      <c r="N163" s="400"/>
    </row>
    <row r="164">
      <c r="A164" s="400"/>
      <c r="B164" s="400"/>
      <c r="C164" s="400"/>
      <c r="D164" s="464"/>
      <c r="E164" s="464"/>
      <c r="F164" s="400"/>
      <c r="G164" s="400"/>
      <c r="H164" s="400"/>
      <c r="I164" s="400"/>
      <c r="J164" s="400"/>
      <c r="K164" s="400"/>
      <c r="L164" s="400"/>
      <c r="M164" s="400"/>
      <c r="N164" s="400"/>
    </row>
    <row r="165">
      <c r="A165" s="400"/>
      <c r="B165" s="400"/>
      <c r="C165" s="400"/>
      <c r="D165" s="464"/>
      <c r="E165" s="464"/>
      <c r="F165" s="400"/>
      <c r="G165" s="400"/>
      <c r="H165" s="400"/>
      <c r="I165" s="400"/>
      <c r="J165" s="400"/>
      <c r="K165" s="400"/>
      <c r="L165" s="400"/>
      <c r="M165" s="400"/>
      <c r="N165" s="400"/>
    </row>
    <row r="166">
      <c r="A166" s="400"/>
      <c r="B166" s="400"/>
      <c r="C166" s="400"/>
      <c r="D166" s="464"/>
      <c r="E166" s="464"/>
      <c r="F166" s="400"/>
      <c r="G166" s="400"/>
      <c r="H166" s="400"/>
      <c r="I166" s="400"/>
      <c r="J166" s="400"/>
      <c r="K166" s="400"/>
      <c r="L166" s="400"/>
      <c r="M166" s="400"/>
      <c r="N166" s="400"/>
    </row>
    <row r="167">
      <c r="A167" s="400"/>
      <c r="B167" s="400"/>
      <c r="C167" s="400"/>
      <c r="D167" s="464"/>
      <c r="E167" s="464"/>
      <c r="F167" s="400"/>
      <c r="G167" s="400"/>
      <c r="H167" s="400"/>
      <c r="I167" s="400"/>
      <c r="J167" s="400"/>
      <c r="K167" s="400"/>
      <c r="L167" s="400"/>
      <c r="M167" s="400"/>
      <c r="N167" s="400"/>
    </row>
    <row r="168">
      <c r="A168" s="400"/>
      <c r="B168" s="400"/>
      <c r="C168" s="400"/>
      <c r="D168" s="464"/>
      <c r="E168" s="464"/>
      <c r="F168" s="400"/>
      <c r="G168" s="400"/>
      <c r="H168" s="400"/>
      <c r="I168" s="400"/>
      <c r="J168" s="400"/>
      <c r="K168" s="400"/>
      <c r="L168" s="400"/>
      <c r="M168" s="400"/>
      <c r="N168" s="400"/>
    </row>
    <row r="169">
      <c r="A169" s="400"/>
      <c r="B169" s="400"/>
      <c r="C169" s="400"/>
      <c r="D169" s="464"/>
      <c r="E169" s="464"/>
      <c r="F169" s="400"/>
      <c r="G169" s="400"/>
      <c r="H169" s="400"/>
      <c r="I169" s="400"/>
      <c r="J169" s="400"/>
      <c r="K169" s="400"/>
      <c r="L169" s="400"/>
      <c r="M169" s="400"/>
      <c r="N169" s="400"/>
    </row>
    <row r="170">
      <c r="A170" s="400"/>
      <c r="B170" s="400"/>
      <c r="C170" s="400"/>
      <c r="D170" s="464"/>
      <c r="E170" s="464"/>
      <c r="F170" s="400"/>
      <c r="G170" s="400"/>
      <c r="H170" s="400"/>
      <c r="I170" s="400"/>
      <c r="J170" s="400"/>
      <c r="K170" s="400"/>
      <c r="L170" s="400"/>
      <c r="M170" s="400"/>
      <c r="N170" s="400"/>
    </row>
    <row r="171">
      <c r="A171" s="400"/>
      <c r="B171" s="400"/>
      <c r="C171" s="400"/>
      <c r="D171" s="464"/>
      <c r="E171" s="464"/>
      <c r="F171" s="400"/>
      <c r="G171" s="400"/>
      <c r="H171" s="400"/>
      <c r="I171" s="400"/>
      <c r="J171" s="400"/>
      <c r="K171" s="400"/>
      <c r="L171" s="400"/>
      <c r="M171" s="400"/>
      <c r="N171" s="400"/>
    </row>
    <row r="172">
      <c r="A172" s="400"/>
      <c r="B172" s="400"/>
      <c r="C172" s="400"/>
      <c r="D172" s="464"/>
      <c r="E172" s="464"/>
      <c r="F172" s="400"/>
      <c r="G172" s="400"/>
      <c r="H172" s="400"/>
      <c r="I172" s="400"/>
      <c r="J172" s="400"/>
      <c r="K172" s="400"/>
      <c r="L172" s="400"/>
      <c r="M172" s="400"/>
      <c r="N172" s="400"/>
    </row>
    <row r="173">
      <c r="A173" s="400"/>
      <c r="B173" s="400"/>
      <c r="C173" s="400"/>
      <c r="D173" s="464"/>
      <c r="E173" s="464"/>
      <c r="F173" s="400"/>
      <c r="G173" s="400"/>
      <c r="H173" s="400"/>
      <c r="I173" s="400"/>
      <c r="J173" s="400"/>
      <c r="K173" s="400"/>
      <c r="L173" s="400"/>
      <c r="M173" s="400"/>
      <c r="N173" s="400"/>
    </row>
    <row r="174">
      <c r="A174" s="400"/>
      <c r="B174" s="400"/>
      <c r="C174" s="400"/>
      <c r="D174" s="464"/>
      <c r="E174" s="464"/>
      <c r="F174" s="400"/>
      <c r="G174" s="400"/>
      <c r="H174" s="400"/>
      <c r="I174" s="400"/>
      <c r="J174" s="400"/>
      <c r="K174" s="400"/>
      <c r="L174" s="400"/>
      <c r="M174" s="400"/>
      <c r="N174" s="400"/>
    </row>
    <row r="175">
      <c r="A175" s="400"/>
      <c r="B175" s="400"/>
      <c r="C175" s="400"/>
      <c r="D175" s="464"/>
      <c r="E175" s="464"/>
      <c r="F175" s="400"/>
      <c r="G175" s="400"/>
      <c r="H175" s="400"/>
      <c r="I175" s="400"/>
      <c r="J175" s="400"/>
      <c r="K175" s="400"/>
      <c r="L175" s="400"/>
      <c r="M175" s="400"/>
      <c r="N175" s="400"/>
    </row>
    <row r="176">
      <c r="A176" s="400"/>
      <c r="B176" s="400"/>
      <c r="C176" s="400"/>
      <c r="D176" s="464"/>
      <c r="E176" s="464"/>
      <c r="F176" s="400"/>
      <c r="G176" s="400"/>
      <c r="H176" s="400"/>
      <c r="I176" s="400"/>
      <c r="J176" s="400"/>
      <c r="K176" s="400"/>
      <c r="L176" s="400"/>
      <c r="M176" s="400"/>
      <c r="N176" s="400"/>
    </row>
    <row r="177">
      <c r="A177" s="400"/>
      <c r="B177" s="400"/>
      <c r="C177" s="400"/>
      <c r="D177" s="464"/>
      <c r="E177" s="464"/>
      <c r="F177" s="400"/>
      <c r="G177" s="400"/>
      <c r="H177" s="400"/>
      <c r="I177" s="400"/>
      <c r="J177" s="400"/>
      <c r="K177" s="400"/>
      <c r="L177" s="400"/>
      <c r="M177" s="400"/>
      <c r="N177" s="400"/>
    </row>
    <row r="178">
      <c r="A178" s="400"/>
      <c r="B178" s="400"/>
      <c r="C178" s="400"/>
      <c r="D178" s="464"/>
      <c r="E178" s="464"/>
      <c r="F178" s="400"/>
      <c r="G178" s="400"/>
      <c r="H178" s="400"/>
      <c r="I178" s="400"/>
      <c r="J178" s="400"/>
      <c r="K178" s="400"/>
      <c r="L178" s="400"/>
      <c r="M178" s="400"/>
      <c r="N178" s="400"/>
    </row>
    <row r="179">
      <c r="A179" s="400"/>
      <c r="B179" s="400"/>
      <c r="C179" s="400"/>
      <c r="D179" s="464"/>
      <c r="E179" s="464"/>
      <c r="F179" s="400"/>
      <c r="G179" s="400"/>
      <c r="H179" s="400"/>
      <c r="I179" s="400"/>
      <c r="J179" s="400"/>
      <c r="K179" s="400"/>
      <c r="L179" s="400"/>
      <c r="M179" s="400"/>
      <c r="N179" s="400"/>
    </row>
    <row r="180">
      <c r="A180" s="400"/>
      <c r="B180" s="400"/>
      <c r="C180" s="400"/>
      <c r="D180" s="464"/>
      <c r="E180" s="464"/>
      <c r="F180" s="400"/>
      <c r="G180" s="400"/>
      <c r="H180" s="400"/>
      <c r="I180" s="400"/>
      <c r="J180" s="400"/>
      <c r="K180" s="400"/>
      <c r="L180" s="400"/>
      <c r="M180" s="400"/>
      <c r="N180" s="400"/>
    </row>
    <row r="181">
      <c r="A181" s="400"/>
      <c r="B181" s="400"/>
      <c r="C181" s="400"/>
      <c r="D181" s="464"/>
      <c r="E181" s="464"/>
      <c r="F181" s="400"/>
      <c r="G181" s="400"/>
      <c r="H181" s="400"/>
      <c r="I181" s="400"/>
      <c r="J181" s="400"/>
      <c r="K181" s="400"/>
      <c r="L181" s="400"/>
      <c r="M181" s="400"/>
      <c r="N181" s="400"/>
    </row>
    <row r="182">
      <c r="A182" s="400"/>
      <c r="B182" s="400"/>
      <c r="C182" s="400"/>
      <c r="D182" s="464"/>
      <c r="E182" s="464"/>
      <c r="F182" s="400"/>
      <c r="G182" s="400"/>
      <c r="H182" s="400"/>
      <c r="I182" s="400"/>
      <c r="J182" s="400"/>
      <c r="K182" s="400"/>
      <c r="L182" s="400"/>
      <c r="M182" s="400"/>
      <c r="N182" s="400"/>
    </row>
    <row r="183">
      <c r="A183" s="400"/>
      <c r="B183" s="400"/>
      <c r="C183" s="400"/>
      <c r="D183" s="464"/>
      <c r="E183" s="464"/>
      <c r="F183" s="400"/>
      <c r="G183" s="400"/>
      <c r="H183" s="400"/>
      <c r="I183" s="400"/>
      <c r="J183" s="400"/>
      <c r="K183" s="400"/>
      <c r="L183" s="400"/>
      <c r="M183" s="400"/>
      <c r="N183" s="400"/>
    </row>
    <row r="184">
      <c r="A184" s="400"/>
      <c r="B184" s="400"/>
      <c r="C184" s="400"/>
      <c r="D184" s="464"/>
      <c r="E184" s="464"/>
      <c r="F184" s="400"/>
      <c r="G184" s="400"/>
      <c r="H184" s="400"/>
      <c r="I184" s="400"/>
      <c r="J184" s="400"/>
      <c r="K184" s="400"/>
      <c r="L184" s="400"/>
      <c r="M184" s="400"/>
      <c r="N184" s="400"/>
    </row>
    <row r="185">
      <c r="A185" s="400"/>
      <c r="B185" s="400"/>
      <c r="C185" s="400"/>
      <c r="D185" s="464"/>
      <c r="E185" s="464"/>
      <c r="F185" s="400"/>
      <c r="G185" s="400"/>
      <c r="H185" s="400"/>
      <c r="I185" s="400"/>
      <c r="J185" s="400"/>
      <c r="K185" s="400"/>
      <c r="L185" s="400"/>
      <c r="M185" s="400"/>
      <c r="N185" s="400"/>
    </row>
    <row r="186">
      <c r="A186" s="400"/>
      <c r="B186" s="400"/>
      <c r="C186" s="400"/>
      <c r="D186" s="464"/>
      <c r="E186" s="464"/>
      <c r="F186" s="400"/>
      <c r="G186" s="400"/>
      <c r="H186" s="400"/>
      <c r="I186" s="400"/>
      <c r="J186" s="400"/>
      <c r="K186" s="400"/>
      <c r="L186" s="400"/>
      <c r="M186" s="400"/>
      <c r="N186" s="400"/>
    </row>
    <row r="187">
      <c r="A187" s="400"/>
      <c r="B187" s="400"/>
      <c r="C187" s="400"/>
      <c r="D187" s="464"/>
      <c r="E187" s="464"/>
      <c r="F187" s="400"/>
      <c r="G187" s="400"/>
      <c r="H187" s="400"/>
      <c r="I187" s="400"/>
      <c r="J187" s="400"/>
      <c r="K187" s="400"/>
      <c r="L187" s="400"/>
      <c r="M187" s="400"/>
      <c r="N187" s="400"/>
    </row>
    <row r="188">
      <c r="A188" s="400"/>
      <c r="B188" s="400"/>
      <c r="C188" s="400"/>
      <c r="D188" s="464"/>
      <c r="E188" s="464"/>
      <c r="F188" s="400"/>
      <c r="G188" s="400"/>
      <c r="H188" s="400"/>
      <c r="I188" s="400"/>
      <c r="J188" s="400"/>
      <c r="K188" s="400"/>
      <c r="L188" s="400"/>
      <c r="M188" s="400"/>
      <c r="N188" s="400"/>
    </row>
    <row r="189">
      <c r="A189" s="400"/>
      <c r="B189" s="400"/>
      <c r="C189" s="400"/>
      <c r="D189" s="464"/>
      <c r="E189" s="464"/>
      <c r="F189" s="400"/>
      <c r="G189" s="400"/>
      <c r="H189" s="400"/>
      <c r="I189" s="400"/>
      <c r="J189" s="400"/>
      <c r="K189" s="400"/>
      <c r="L189" s="400"/>
      <c r="M189" s="400"/>
      <c r="N189" s="400"/>
    </row>
    <row r="190">
      <c r="A190" s="400"/>
      <c r="B190" s="400"/>
      <c r="C190" s="400"/>
      <c r="D190" s="464"/>
      <c r="E190" s="464"/>
      <c r="F190" s="400"/>
      <c r="G190" s="400"/>
      <c r="H190" s="400"/>
      <c r="I190" s="400"/>
      <c r="J190" s="400"/>
      <c r="K190" s="400"/>
      <c r="L190" s="400"/>
      <c r="M190" s="400"/>
      <c r="N190" s="400"/>
    </row>
    <row r="191">
      <c r="A191" s="400"/>
      <c r="B191" s="400"/>
      <c r="C191" s="400"/>
      <c r="D191" s="464"/>
      <c r="E191" s="464"/>
      <c r="F191" s="400"/>
      <c r="G191" s="400"/>
      <c r="H191" s="400"/>
      <c r="I191" s="400"/>
      <c r="J191" s="400"/>
      <c r="K191" s="400"/>
      <c r="L191" s="400"/>
      <c r="M191" s="400"/>
      <c r="N191" s="400"/>
    </row>
    <row r="192">
      <c r="A192" s="400"/>
      <c r="B192" s="400"/>
      <c r="C192" s="400"/>
      <c r="D192" s="464"/>
      <c r="E192" s="464"/>
      <c r="F192" s="400"/>
      <c r="G192" s="400"/>
      <c r="H192" s="400"/>
      <c r="I192" s="400"/>
      <c r="J192" s="400"/>
      <c r="K192" s="400"/>
      <c r="L192" s="400"/>
      <c r="M192" s="400"/>
      <c r="N192" s="400"/>
    </row>
    <row r="193">
      <c r="A193" s="400"/>
      <c r="B193" s="400"/>
      <c r="C193" s="400"/>
      <c r="D193" s="464"/>
      <c r="E193" s="464"/>
      <c r="F193" s="400"/>
      <c r="G193" s="400"/>
      <c r="H193" s="400"/>
      <c r="I193" s="400"/>
      <c r="J193" s="400"/>
      <c r="K193" s="400"/>
      <c r="L193" s="400"/>
      <c r="M193" s="400"/>
      <c r="N193" s="400"/>
    </row>
    <row r="194">
      <c r="A194" s="400"/>
      <c r="B194" s="400"/>
      <c r="C194" s="400"/>
      <c r="D194" s="464"/>
      <c r="E194" s="464"/>
      <c r="F194" s="400"/>
      <c r="G194" s="400"/>
      <c r="H194" s="400"/>
      <c r="I194" s="400"/>
      <c r="J194" s="400"/>
      <c r="K194" s="400"/>
      <c r="L194" s="400"/>
      <c r="M194" s="400"/>
      <c r="N194" s="400"/>
    </row>
    <row r="195">
      <c r="A195" s="400"/>
      <c r="B195" s="400"/>
      <c r="C195" s="400"/>
      <c r="D195" s="464"/>
      <c r="E195" s="464"/>
      <c r="F195" s="400"/>
      <c r="G195" s="400"/>
      <c r="H195" s="400"/>
      <c r="I195" s="400"/>
      <c r="J195" s="400"/>
      <c r="K195" s="400"/>
      <c r="L195" s="400"/>
      <c r="M195" s="400"/>
      <c r="N195" s="400"/>
    </row>
    <row r="196">
      <c r="A196" s="400"/>
      <c r="B196" s="400"/>
      <c r="C196" s="400"/>
      <c r="D196" s="464"/>
      <c r="E196" s="464"/>
      <c r="F196" s="400"/>
      <c r="G196" s="400"/>
      <c r="H196" s="400"/>
      <c r="I196" s="400"/>
      <c r="J196" s="400"/>
      <c r="K196" s="400"/>
      <c r="L196" s="400"/>
      <c r="M196" s="400"/>
      <c r="N196" s="400"/>
    </row>
    <row r="197">
      <c r="A197" s="400"/>
      <c r="B197" s="400"/>
      <c r="C197" s="400"/>
      <c r="D197" s="464"/>
      <c r="E197" s="464"/>
      <c r="F197" s="400"/>
      <c r="G197" s="400"/>
      <c r="H197" s="400"/>
      <c r="I197" s="400"/>
      <c r="J197" s="400"/>
      <c r="K197" s="400"/>
      <c r="L197" s="400"/>
      <c r="M197" s="400"/>
      <c r="N197" s="400"/>
    </row>
    <row r="198">
      <c r="A198" s="400"/>
      <c r="B198" s="400"/>
      <c r="C198" s="400"/>
      <c r="D198" s="464"/>
      <c r="E198" s="464"/>
      <c r="F198" s="400"/>
      <c r="G198" s="400"/>
      <c r="H198" s="400"/>
      <c r="I198" s="400"/>
      <c r="J198" s="400"/>
      <c r="K198" s="400"/>
      <c r="L198" s="400"/>
      <c r="M198" s="400"/>
      <c r="N198" s="400"/>
    </row>
    <row r="199">
      <c r="A199" s="400"/>
      <c r="B199" s="400"/>
      <c r="C199" s="400"/>
      <c r="D199" s="464"/>
      <c r="E199" s="464"/>
      <c r="F199" s="400"/>
      <c r="G199" s="400"/>
      <c r="H199" s="400"/>
      <c r="I199" s="400"/>
      <c r="J199" s="400"/>
      <c r="K199" s="400"/>
      <c r="L199" s="400"/>
      <c r="M199" s="400"/>
      <c r="N199" s="400"/>
    </row>
    <row r="200">
      <c r="A200" s="400"/>
      <c r="B200" s="400"/>
      <c r="C200" s="400"/>
      <c r="D200" s="464"/>
      <c r="E200" s="464"/>
      <c r="F200" s="400"/>
      <c r="G200" s="400"/>
      <c r="H200" s="400"/>
      <c r="I200" s="400"/>
      <c r="J200" s="400"/>
      <c r="K200" s="400"/>
      <c r="L200" s="400"/>
      <c r="M200" s="400"/>
      <c r="N200" s="400"/>
    </row>
    <row r="201">
      <c r="A201" s="400"/>
      <c r="B201" s="400"/>
      <c r="C201" s="400"/>
      <c r="D201" s="464"/>
      <c r="E201" s="464"/>
      <c r="F201" s="400"/>
      <c r="G201" s="400"/>
      <c r="H201" s="400"/>
      <c r="I201" s="400"/>
      <c r="J201" s="400"/>
      <c r="K201" s="400"/>
      <c r="L201" s="400"/>
      <c r="M201" s="400"/>
      <c r="N201" s="400"/>
    </row>
    <row r="202">
      <c r="A202" s="400"/>
      <c r="B202" s="400"/>
      <c r="C202" s="400"/>
      <c r="D202" s="464"/>
      <c r="E202" s="464"/>
      <c r="F202" s="400"/>
      <c r="G202" s="400"/>
      <c r="H202" s="400"/>
      <c r="I202" s="400"/>
      <c r="J202" s="400"/>
      <c r="K202" s="400"/>
      <c r="L202" s="400"/>
      <c r="M202" s="400"/>
      <c r="N202" s="400"/>
    </row>
    <row r="203">
      <c r="A203" s="400"/>
      <c r="B203" s="400"/>
      <c r="C203" s="400"/>
      <c r="D203" s="464"/>
      <c r="E203" s="464"/>
      <c r="F203" s="400"/>
      <c r="G203" s="400"/>
      <c r="H203" s="400"/>
      <c r="I203" s="400"/>
      <c r="J203" s="400"/>
      <c r="K203" s="400"/>
      <c r="L203" s="400"/>
      <c r="M203" s="400"/>
      <c r="N203" s="400"/>
    </row>
    <row r="204">
      <c r="A204" s="400"/>
      <c r="B204" s="400"/>
      <c r="C204" s="400"/>
      <c r="D204" s="464"/>
      <c r="E204" s="464"/>
      <c r="F204" s="400"/>
      <c r="G204" s="400"/>
      <c r="H204" s="400"/>
      <c r="I204" s="400"/>
      <c r="J204" s="400"/>
      <c r="K204" s="400"/>
      <c r="L204" s="400"/>
      <c r="M204" s="400"/>
      <c r="N204" s="400"/>
    </row>
    <row r="205">
      <c r="A205" s="400"/>
      <c r="B205" s="400"/>
      <c r="C205" s="400"/>
      <c r="D205" s="464"/>
      <c r="E205" s="464"/>
      <c r="F205" s="400"/>
      <c r="G205" s="400"/>
      <c r="H205" s="400"/>
      <c r="I205" s="400"/>
      <c r="J205" s="400"/>
      <c r="K205" s="400"/>
      <c r="L205" s="400"/>
      <c r="M205" s="400"/>
      <c r="N205" s="400"/>
    </row>
    <row r="206">
      <c r="A206" s="400"/>
      <c r="B206" s="400"/>
      <c r="C206" s="400"/>
      <c r="D206" s="464"/>
      <c r="E206" s="464"/>
      <c r="F206" s="400"/>
      <c r="G206" s="400"/>
      <c r="H206" s="400"/>
      <c r="I206" s="400"/>
      <c r="J206" s="400"/>
      <c r="K206" s="400"/>
      <c r="L206" s="400"/>
      <c r="M206" s="400"/>
      <c r="N206" s="400"/>
    </row>
    <row r="207">
      <c r="A207" s="400"/>
      <c r="B207" s="400"/>
      <c r="C207" s="400"/>
      <c r="D207" s="464"/>
      <c r="E207" s="464"/>
      <c r="F207" s="400"/>
      <c r="G207" s="400"/>
      <c r="H207" s="400"/>
      <c r="I207" s="400"/>
      <c r="J207" s="400"/>
      <c r="K207" s="400"/>
      <c r="L207" s="400"/>
      <c r="M207" s="400"/>
      <c r="N207" s="400"/>
    </row>
    <row r="208">
      <c r="A208" s="400"/>
      <c r="B208" s="400"/>
      <c r="C208" s="400"/>
      <c r="D208" s="464"/>
      <c r="E208" s="464"/>
      <c r="F208" s="400"/>
      <c r="G208" s="400"/>
      <c r="H208" s="400"/>
      <c r="I208" s="400"/>
      <c r="J208" s="400"/>
      <c r="K208" s="400"/>
      <c r="L208" s="400"/>
      <c r="M208" s="400"/>
      <c r="N208" s="400"/>
    </row>
    <row r="209">
      <c r="A209" s="400"/>
      <c r="B209" s="400"/>
      <c r="C209" s="400"/>
      <c r="D209" s="464"/>
      <c r="E209" s="464"/>
      <c r="F209" s="400"/>
      <c r="G209" s="400"/>
      <c r="H209" s="400"/>
      <c r="I209" s="400"/>
      <c r="J209" s="400"/>
      <c r="K209" s="400"/>
      <c r="L209" s="400"/>
      <c r="M209" s="400"/>
      <c r="N209" s="400"/>
    </row>
    <row r="210">
      <c r="A210" s="400"/>
      <c r="B210" s="400"/>
      <c r="C210" s="400"/>
      <c r="D210" s="464"/>
      <c r="E210" s="464"/>
      <c r="F210" s="400"/>
      <c r="G210" s="400"/>
      <c r="H210" s="400"/>
      <c r="I210" s="400"/>
      <c r="J210" s="400"/>
      <c r="K210" s="400"/>
      <c r="L210" s="400"/>
      <c r="M210" s="400"/>
      <c r="N210" s="400"/>
    </row>
    <row r="211">
      <c r="A211" s="400"/>
      <c r="B211" s="400"/>
      <c r="C211" s="400"/>
      <c r="D211" s="464"/>
      <c r="E211" s="464"/>
      <c r="F211" s="400"/>
      <c r="G211" s="400"/>
      <c r="H211" s="400"/>
      <c r="I211" s="400"/>
      <c r="J211" s="400"/>
      <c r="K211" s="400"/>
      <c r="L211" s="400"/>
      <c r="M211" s="400"/>
      <c r="N211" s="400"/>
    </row>
    <row r="212">
      <c r="A212" s="400"/>
      <c r="B212" s="400"/>
      <c r="C212" s="400"/>
      <c r="D212" s="464"/>
      <c r="E212" s="464"/>
      <c r="F212" s="400"/>
      <c r="G212" s="400"/>
      <c r="H212" s="400"/>
      <c r="I212" s="400"/>
      <c r="J212" s="400"/>
      <c r="K212" s="400"/>
      <c r="L212" s="400"/>
      <c r="M212" s="400"/>
      <c r="N212" s="400"/>
    </row>
    <row r="213">
      <c r="A213" s="400"/>
      <c r="B213" s="400"/>
      <c r="C213" s="400"/>
      <c r="D213" s="464"/>
      <c r="E213" s="464"/>
      <c r="F213" s="400"/>
      <c r="G213" s="400"/>
      <c r="H213" s="400"/>
      <c r="I213" s="400"/>
      <c r="J213" s="400"/>
      <c r="K213" s="400"/>
      <c r="L213" s="400"/>
      <c r="M213" s="400"/>
      <c r="N213" s="400"/>
    </row>
    <row r="214">
      <c r="A214" s="400"/>
      <c r="B214" s="400"/>
      <c r="C214" s="400"/>
      <c r="D214" s="464"/>
      <c r="E214" s="464"/>
      <c r="F214" s="400"/>
      <c r="G214" s="400"/>
      <c r="H214" s="400"/>
      <c r="I214" s="400"/>
      <c r="J214" s="400"/>
      <c r="K214" s="400"/>
      <c r="L214" s="400"/>
      <c r="M214" s="400"/>
      <c r="N214" s="400"/>
    </row>
    <row r="215">
      <c r="A215" s="400"/>
      <c r="B215" s="400"/>
      <c r="C215" s="400"/>
      <c r="D215" s="464"/>
      <c r="E215" s="464"/>
      <c r="F215" s="400"/>
      <c r="G215" s="400"/>
      <c r="H215" s="400"/>
      <c r="I215" s="400"/>
      <c r="J215" s="400"/>
      <c r="K215" s="400"/>
      <c r="L215" s="400"/>
      <c r="M215" s="400"/>
      <c r="N215" s="400"/>
    </row>
    <row r="216">
      <c r="A216" s="400"/>
      <c r="B216" s="400"/>
      <c r="C216" s="400"/>
      <c r="D216" s="464"/>
      <c r="E216" s="464"/>
      <c r="F216" s="400"/>
      <c r="G216" s="400"/>
      <c r="H216" s="400"/>
      <c r="I216" s="400"/>
      <c r="J216" s="400"/>
      <c r="K216" s="400"/>
      <c r="L216" s="400"/>
      <c r="M216" s="400"/>
      <c r="N216" s="400"/>
    </row>
    <row r="217">
      <c r="A217" s="400"/>
      <c r="B217" s="400"/>
      <c r="C217" s="400"/>
      <c r="D217" s="464"/>
      <c r="E217" s="464"/>
      <c r="F217" s="400"/>
      <c r="G217" s="400"/>
      <c r="H217" s="400"/>
      <c r="I217" s="400"/>
      <c r="J217" s="400"/>
      <c r="K217" s="400"/>
      <c r="L217" s="400"/>
      <c r="M217" s="400"/>
      <c r="N217" s="400"/>
    </row>
    <row r="218">
      <c r="A218" s="400"/>
      <c r="B218" s="400"/>
      <c r="C218" s="400"/>
      <c r="D218" s="464"/>
      <c r="E218" s="464"/>
      <c r="F218" s="400"/>
      <c r="G218" s="400"/>
      <c r="H218" s="400"/>
      <c r="I218" s="400"/>
      <c r="J218" s="400"/>
      <c r="K218" s="400"/>
      <c r="L218" s="400"/>
      <c r="M218" s="400"/>
      <c r="N218" s="400"/>
    </row>
    <row r="219">
      <c r="A219" s="400"/>
      <c r="B219" s="400"/>
      <c r="C219" s="400"/>
      <c r="D219" s="464"/>
      <c r="E219" s="464"/>
      <c r="F219" s="400"/>
      <c r="G219" s="400"/>
      <c r="H219" s="400"/>
      <c r="I219" s="400"/>
      <c r="J219" s="400"/>
      <c r="K219" s="400"/>
      <c r="L219" s="400"/>
      <c r="M219" s="400"/>
      <c r="N219" s="400"/>
    </row>
    <row r="220">
      <c r="A220" s="400"/>
      <c r="B220" s="400"/>
      <c r="C220" s="400"/>
      <c r="D220" s="464"/>
      <c r="E220" s="464"/>
      <c r="F220" s="400"/>
      <c r="G220" s="400"/>
      <c r="H220" s="400"/>
      <c r="I220" s="400"/>
      <c r="J220" s="400"/>
      <c r="K220" s="400"/>
      <c r="L220" s="400"/>
      <c r="M220" s="400"/>
      <c r="N220" s="400"/>
    </row>
    <row r="221">
      <c r="A221" s="400"/>
      <c r="B221" s="400"/>
      <c r="C221" s="400"/>
      <c r="D221" s="464"/>
      <c r="E221" s="464"/>
      <c r="F221" s="400"/>
      <c r="G221" s="400"/>
      <c r="H221" s="400"/>
      <c r="I221" s="400"/>
      <c r="J221" s="400"/>
      <c r="K221" s="400"/>
      <c r="L221" s="400"/>
      <c r="M221" s="400"/>
      <c r="N221" s="400"/>
    </row>
    <row r="222">
      <c r="A222" s="400"/>
      <c r="B222" s="400"/>
      <c r="C222" s="400"/>
      <c r="D222" s="464"/>
      <c r="E222" s="464"/>
      <c r="F222" s="400"/>
      <c r="G222" s="400"/>
      <c r="H222" s="400"/>
      <c r="I222" s="400"/>
      <c r="J222" s="400"/>
      <c r="K222" s="400"/>
      <c r="L222" s="400"/>
      <c r="M222" s="400"/>
      <c r="N222" s="400"/>
    </row>
    <row r="223">
      <c r="A223" s="400"/>
      <c r="B223" s="400"/>
      <c r="C223" s="400"/>
      <c r="D223" s="464"/>
      <c r="E223" s="464"/>
      <c r="F223" s="400"/>
      <c r="G223" s="400"/>
      <c r="H223" s="400"/>
      <c r="I223" s="400"/>
      <c r="J223" s="400"/>
      <c r="K223" s="400"/>
      <c r="L223" s="400"/>
      <c r="M223" s="400"/>
      <c r="N223" s="400"/>
    </row>
    <row r="224">
      <c r="A224" s="400"/>
      <c r="B224" s="400"/>
      <c r="C224" s="400"/>
      <c r="D224" s="464"/>
      <c r="E224" s="464"/>
      <c r="F224" s="400"/>
      <c r="G224" s="400"/>
      <c r="H224" s="400"/>
      <c r="I224" s="400"/>
      <c r="J224" s="400"/>
      <c r="K224" s="400"/>
      <c r="L224" s="400"/>
      <c r="M224" s="400"/>
      <c r="N224" s="400"/>
    </row>
    <row r="225">
      <c r="A225" s="400"/>
      <c r="B225" s="400"/>
      <c r="C225" s="400"/>
      <c r="D225" s="464"/>
      <c r="E225" s="464"/>
      <c r="F225" s="400"/>
      <c r="G225" s="400"/>
      <c r="H225" s="400"/>
      <c r="I225" s="400"/>
      <c r="J225" s="400"/>
      <c r="K225" s="400"/>
      <c r="L225" s="400"/>
      <c r="M225" s="400"/>
      <c r="N225" s="400"/>
    </row>
    <row r="226">
      <c r="A226" s="400"/>
      <c r="B226" s="400"/>
      <c r="C226" s="400"/>
      <c r="D226" s="464"/>
      <c r="E226" s="464"/>
      <c r="F226" s="400"/>
      <c r="G226" s="400"/>
      <c r="H226" s="400"/>
      <c r="I226" s="400"/>
      <c r="J226" s="400"/>
      <c r="K226" s="400"/>
      <c r="L226" s="400"/>
      <c r="M226" s="400"/>
      <c r="N226" s="400"/>
    </row>
    <row r="227">
      <c r="A227" s="400"/>
      <c r="B227" s="400"/>
      <c r="C227" s="400"/>
      <c r="D227" s="464"/>
      <c r="E227" s="464"/>
      <c r="F227" s="400"/>
      <c r="G227" s="400"/>
      <c r="H227" s="400"/>
      <c r="I227" s="400"/>
      <c r="J227" s="400"/>
      <c r="K227" s="400"/>
      <c r="L227" s="400"/>
      <c r="M227" s="400"/>
      <c r="N227" s="400"/>
    </row>
    <row r="228">
      <c r="A228" s="400"/>
      <c r="B228" s="400"/>
      <c r="C228" s="400"/>
      <c r="D228" s="464"/>
      <c r="E228" s="464"/>
      <c r="F228" s="400"/>
      <c r="G228" s="400"/>
      <c r="H228" s="400"/>
      <c r="I228" s="400"/>
      <c r="J228" s="400"/>
      <c r="K228" s="400"/>
      <c r="L228" s="400"/>
      <c r="M228" s="400"/>
      <c r="N228" s="400"/>
    </row>
    <row r="229">
      <c r="A229" s="400"/>
      <c r="B229" s="400"/>
      <c r="C229" s="400"/>
      <c r="D229" s="464"/>
      <c r="E229" s="464"/>
      <c r="F229" s="400"/>
      <c r="G229" s="400"/>
      <c r="H229" s="400"/>
      <c r="I229" s="400"/>
      <c r="J229" s="400"/>
      <c r="K229" s="400"/>
      <c r="L229" s="400"/>
      <c r="M229" s="400"/>
      <c r="N229" s="400"/>
    </row>
    <row r="230">
      <c r="A230" s="400"/>
      <c r="B230" s="400"/>
      <c r="C230" s="400"/>
      <c r="D230" s="464"/>
      <c r="E230" s="464"/>
      <c r="F230" s="400"/>
      <c r="G230" s="400"/>
      <c r="H230" s="400"/>
      <c r="I230" s="400"/>
      <c r="J230" s="400"/>
      <c r="K230" s="400"/>
      <c r="L230" s="400"/>
      <c r="M230" s="400"/>
      <c r="N230" s="400"/>
    </row>
    <row r="231">
      <c r="A231" s="400"/>
      <c r="B231" s="400"/>
      <c r="C231" s="400"/>
      <c r="D231" s="464"/>
      <c r="E231" s="464"/>
      <c r="F231" s="400"/>
      <c r="G231" s="400"/>
      <c r="H231" s="400"/>
      <c r="I231" s="400"/>
      <c r="J231" s="400"/>
      <c r="K231" s="400"/>
      <c r="L231" s="400"/>
      <c r="M231" s="400"/>
      <c r="N231" s="400"/>
    </row>
    <row r="232">
      <c r="A232" s="400"/>
      <c r="B232" s="400"/>
      <c r="C232" s="400"/>
      <c r="D232" s="464"/>
      <c r="E232" s="464"/>
      <c r="F232" s="400"/>
      <c r="G232" s="400"/>
      <c r="H232" s="400"/>
      <c r="I232" s="400"/>
      <c r="J232" s="400"/>
      <c r="K232" s="400"/>
      <c r="L232" s="400"/>
      <c r="M232" s="400"/>
      <c r="N232" s="400"/>
    </row>
    <row r="233">
      <c r="A233" s="400"/>
      <c r="B233" s="400"/>
      <c r="C233" s="400"/>
      <c r="D233" s="464"/>
      <c r="E233" s="464"/>
      <c r="F233" s="400"/>
      <c r="G233" s="400"/>
      <c r="H233" s="400"/>
      <c r="I233" s="400"/>
      <c r="J233" s="400"/>
      <c r="K233" s="400"/>
      <c r="L233" s="400"/>
      <c r="M233" s="400"/>
      <c r="N233" s="400"/>
    </row>
    <row r="234">
      <c r="A234" s="400"/>
      <c r="B234" s="400"/>
      <c r="C234" s="400"/>
      <c r="D234" s="464"/>
      <c r="E234" s="464"/>
      <c r="F234" s="400"/>
      <c r="G234" s="400"/>
      <c r="H234" s="400"/>
      <c r="I234" s="400"/>
      <c r="J234" s="400"/>
      <c r="K234" s="400"/>
      <c r="L234" s="400"/>
      <c r="M234" s="400"/>
      <c r="N234" s="400"/>
    </row>
    <row r="235">
      <c r="A235" s="400"/>
      <c r="B235" s="400"/>
      <c r="C235" s="400"/>
      <c r="D235" s="464"/>
      <c r="E235" s="464"/>
      <c r="F235" s="400"/>
      <c r="G235" s="400"/>
      <c r="H235" s="400"/>
      <c r="I235" s="400"/>
      <c r="J235" s="400"/>
      <c r="K235" s="400"/>
      <c r="L235" s="400"/>
      <c r="M235" s="400"/>
      <c r="N235" s="400"/>
    </row>
    <row r="236">
      <c r="A236" s="400"/>
      <c r="B236" s="400"/>
      <c r="C236" s="400"/>
      <c r="D236" s="464"/>
      <c r="E236" s="464"/>
      <c r="F236" s="400"/>
      <c r="G236" s="400"/>
      <c r="H236" s="400"/>
      <c r="I236" s="400"/>
      <c r="J236" s="400"/>
      <c r="K236" s="400"/>
      <c r="L236" s="400"/>
      <c r="M236" s="400"/>
      <c r="N236" s="400"/>
    </row>
    <row r="237">
      <c r="A237" s="400"/>
      <c r="B237" s="400"/>
      <c r="C237" s="400"/>
      <c r="D237" s="464"/>
      <c r="E237" s="464"/>
      <c r="F237" s="400"/>
      <c r="G237" s="400"/>
      <c r="H237" s="400"/>
      <c r="I237" s="400"/>
      <c r="J237" s="400"/>
      <c r="K237" s="400"/>
      <c r="L237" s="400"/>
      <c r="M237" s="400"/>
      <c r="N237" s="400"/>
    </row>
    <row r="238">
      <c r="A238" s="400"/>
      <c r="B238" s="400"/>
      <c r="C238" s="400"/>
      <c r="D238" s="464"/>
      <c r="E238" s="464"/>
      <c r="F238" s="400"/>
      <c r="G238" s="400"/>
      <c r="H238" s="400"/>
      <c r="I238" s="400"/>
      <c r="J238" s="400"/>
      <c r="K238" s="400"/>
      <c r="L238" s="400"/>
      <c r="M238" s="400"/>
      <c r="N238" s="400"/>
    </row>
    <row r="239">
      <c r="A239" s="400"/>
      <c r="B239" s="400"/>
      <c r="C239" s="400"/>
      <c r="D239" s="464"/>
      <c r="E239" s="464"/>
      <c r="F239" s="400"/>
      <c r="G239" s="400"/>
      <c r="H239" s="400"/>
      <c r="I239" s="400"/>
      <c r="J239" s="400"/>
      <c r="K239" s="400"/>
      <c r="L239" s="400"/>
      <c r="M239" s="400"/>
      <c r="N239" s="400"/>
    </row>
    <row r="240">
      <c r="A240" s="400"/>
      <c r="B240" s="400"/>
      <c r="C240" s="400"/>
      <c r="D240" s="464"/>
      <c r="E240" s="464"/>
      <c r="F240" s="400"/>
      <c r="G240" s="400"/>
      <c r="H240" s="400"/>
      <c r="I240" s="400"/>
      <c r="J240" s="400"/>
      <c r="K240" s="400"/>
      <c r="L240" s="400"/>
      <c r="M240" s="400"/>
      <c r="N240" s="400"/>
    </row>
    <row r="241">
      <c r="A241" s="400"/>
      <c r="B241" s="400"/>
      <c r="C241" s="400"/>
      <c r="D241" s="464"/>
      <c r="E241" s="464"/>
      <c r="F241" s="400"/>
      <c r="G241" s="400"/>
      <c r="H241" s="400"/>
      <c r="I241" s="400"/>
      <c r="J241" s="400"/>
      <c r="K241" s="400"/>
      <c r="L241" s="400"/>
      <c r="M241" s="400"/>
      <c r="N241" s="400"/>
    </row>
    <row r="242">
      <c r="A242" s="400"/>
      <c r="B242" s="400"/>
      <c r="C242" s="400"/>
      <c r="D242" s="464"/>
      <c r="E242" s="464"/>
      <c r="F242" s="400"/>
      <c r="G242" s="400"/>
      <c r="H242" s="400"/>
      <c r="I242" s="400"/>
      <c r="J242" s="400"/>
      <c r="K242" s="400"/>
      <c r="L242" s="400"/>
      <c r="M242" s="400"/>
      <c r="N242" s="400"/>
    </row>
    <row r="243">
      <c r="A243" s="400"/>
      <c r="B243" s="400"/>
      <c r="C243" s="400"/>
      <c r="D243" s="464"/>
      <c r="E243" s="464"/>
      <c r="F243" s="400"/>
      <c r="G243" s="400"/>
      <c r="H243" s="400"/>
      <c r="I243" s="400"/>
      <c r="J243" s="400"/>
      <c r="K243" s="400"/>
      <c r="L243" s="400"/>
      <c r="M243" s="400"/>
      <c r="N243" s="400"/>
    </row>
    <row r="244">
      <c r="A244" s="400"/>
      <c r="B244" s="400"/>
      <c r="C244" s="400"/>
      <c r="D244" s="464"/>
      <c r="E244" s="464"/>
      <c r="F244" s="400"/>
      <c r="G244" s="400"/>
      <c r="H244" s="400"/>
      <c r="I244" s="400"/>
      <c r="J244" s="400"/>
      <c r="K244" s="400"/>
      <c r="L244" s="400"/>
      <c r="M244" s="400"/>
      <c r="N244" s="400"/>
    </row>
    <row r="245">
      <c r="A245" s="400"/>
      <c r="B245" s="400"/>
      <c r="C245" s="400"/>
      <c r="D245" s="464"/>
      <c r="E245" s="464"/>
      <c r="F245" s="400"/>
      <c r="G245" s="400"/>
      <c r="H245" s="400"/>
      <c r="I245" s="400"/>
      <c r="J245" s="400"/>
      <c r="K245" s="400"/>
      <c r="L245" s="400"/>
      <c r="M245" s="400"/>
      <c r="N245" s="400"/>
    </row>
    <row r="246">
      <c r="A246" s="400"/>
      <c r="B246" s="400"/>
      <c r="C246" s="400"/>
      <c r="D246" s="464"/>
      <c r="E246" s="464"/>
      <c r="F246" s="400"/>
      <c r="G246" s="400"/>
      <c r="H246" s="400"/>
      <c r="I246" s="400"/>
      <c r="J246" s="400"/>
      <c r="K246" s="400"/>
      <c r="L246" s="400"/>
      <c r="M246" s="400"/>
      <c r="N246" s="400"/>
    </row>
    <row r="247">
      <c r="A247" s="400"/>
      <c r="B247" s="400"/>
      <c r="C247" s="400"/>
      <c r="D247" s="464"/>
      <c r="E247" s="464"/>
      <c r="F247" s="400"/>
      <c r="G247" s="400"/>
      <c r="H247" s="400"/>
      <c r="I247" s="400"/>
      <c r="J247" s="400"/>
      <c r="K247" s="400"/>
      <c r="L247" s="400"/>
      <c r="M247" s="400"/>
      <c r="N247" s="400"/>
    </row>
    <row r="248">
      <c r="A248" s="400"/>
      <c r="B248" s="400"/>
      <c r="C248" s="400"/>
      <c r="D248" s="464"/>
      <c r="E248" s="464"/>
      <c r="F248" s="400"/>
      <c r="G248" s="400"/>
      <c r="H248" s="400"/>
      <c r="I248" s="400"/>
      <c r="J248" s="400"/>
      <c r="K248" s="400"/>
      <c r="L248" s="400"/>
      <c r="M248" s="400"/>
      <c r="N248" s="400"/>
    </row>
    <row r="249">
      <c r="A249" s="400"/>
      <c r="B249" s="400"/>
      <c r="C249" s="400"/>
      <c r="D249" s="464"/>
      <c r="E249" s="464"/>
      <c r="F249" s="400"/>
      <c r="G249" s="400"/>
      <c r="H249" s="400"/>
      <c r="I249" s="400"/>
      <c r="J249" s="400"/>
      <c r="K249" s="400"/>
      <c r="L249" s="400"/>
      <c r="M249" s="400"/>
      <c r="N249" s="400"/>
    </row>
    <row r="250">
      <c r="A250" s="400"/>
      <c r="B250" s="400"/>
      <c r="C250" s="400"/>
      <c r="D250" s="464"/>
      <c r="E250" s="464"/>
      <c r="F250" s="400"/>
      <c r="G250" s="400"/>
      <c r="H250" s="400"/>
      <c r="I250" s="400"/>
      <c r="J250" s="400"/>
      <c r="K250" s="400"/>
      <c r="L250" s="400"/>
      <c r="M250" s="400"/>
      <c r="N250" s="400"/>
    </row>
    <row r="251">
      <c r="A251" s="400"/>
      <c r="B251" s="400"/>
      <c r="C251" s="400"/>
      <c r="D251" s="464"/>
      <c r="E251" s="464"/>
      <c r="F251" s="400"/>
      <c r="G251" s="400"/>
      <c r="H251" s="400"/>
      <c r="I251" s="400"/>
      <c r="J251" s="400"/>
      <c r="K251" s="400"/>
      <c r="L251" s="400"/>
      <c r="M251" s="400"/>
      <c r="N251" s="400"/>
    </row>
    <row r="252">
      <c r="A252" s="400"/>
      <c r="B252" s="400"/>
      <c r="C252" s="400"/>
      <c r="D252" s="464"/>
      <c r="E252" s="464"/>
      <c r="F252" s="400"/>
      <c r="G252" s="400"/>
      <c r="H252" s="400"/>
      <c r="I252" s="400"/>
      <c r="J252" s="400"/>
      <c r="K252" s="400"/>
      <c r="L252" s="400"/>
      <c r="M252" s="400"/>
      <c r="N252" s="400"/>
    </row>
    <row r="253">
      <c r="A253" s="400"/>
      <c r="B253" s="400"/>
      <c r="C253" s="400"/>
      <c r="D253" s="464"/>
      <c r="E253" s="464"/>
      <c r="F253" s="400"/>
      <c r="G253" s="400"/>
      <c r="H253" s="400"/>
      <c r="I253" s="400"/>
      <c r="J253" s="400"/>
      <c r="K253" s="400"/>
      <c r="L253" s="400"/>
      <c r="M253" s="400"/>
      <c r="N253" s="400"/>
    </row>
    <row r="254">
      <c r="A254" s="400"/>
      <c r="B254" s="400"/>
      <c r="C254" s="400"/>
      <c r="D254" s="464"/>
      <c r="E254" s="464"/>
      <c r="F254" s="400"/>
      <c r="G254" s="400"/>
      <c r="H254" s="400"/>
      <c r="I254" s="400"/>
      <c r="J254" s="400"/>
      <c r="K254" s="400"/>
      <c r="L254" s="400"/>
      <c r="M254" s="400"/>
      <c r="N254" s="400"/>
    </row>
    <row r="255">
      <c r="A255" s="400"/>
      <c r="B255" s="400"/>
      <c r="C255" s="400"/>
      <c r="D255" s="464"/>
      <c r="E255" s="464"/>
      <c r="F255" s="400"/>
      <c r="G255" s="400"/>
      <c r="H255" s="400"/>
      <c r="I255" s="400"/>
      <c r="J255" s="400"/>
      <c r="K255" s="400"/>
      <c r="L255" s="400"/>
      <c r="M255" s="400"/>
      <c r="N255" s="400"/>
    </row>
    <row r="256">
      <c r="A256" s="400"/>
      <c r="B256" s="400"/>
      <c r="C256" s="400"/>
      <c r="D256" s="464"/>
      <c r="E256" s="464"/>
      <c r="F256" s="400"/>
      <c r="G256" s="400"/>
      <c r="H256" s="400"/>
      <c r="I256" s="400"/>
      <c r="J256" s="400"/>
      <c r="K256" s="400"/>
      <c r="L256" s="400"/>
      <c r="M256" s="400"/>
      <c r="N256" s="400"/>
    </row>
    <row r="257">
      <c r="A257" s="400"/>
      <c r="B257" s="400"/>
      <c r="C257" s="400"/>
      <c r="D257" s="464"/>
      <c r="E257" s="464"/>
      <c r="F257" s="400"/>
      <c r="G257" s="400"/>
      <c r="H257" s="400"/>
      <c r="I257" s="400"/>
      <c r="J257" s="400"/>
      <c r="K257" s="400"/>
      <c r="L257" s="400"/>
      <c r="M257" s="400"/>
      <c r="N257" s="400"/>
    </row>
    <row r="258">
      <c r="A258" s="400"/>
      <c r="B258" s="400"/>
      <c r="C258" s="400"/>
      <c r="D258" s="464"/>
      <c r="E258" s="464"/>
      <c r="F258" s="400"/>
      <c r="G258" s="400"/>
      <c r="H258" s="400"/>
      <c r="I258" s="400"/>
      <c r="J258" s="400"/>
      <c r="K258" s="400"/>
      <c r="L258" s="400"/>
      <c r="M258" s="400"/>
      <c r="N258" s="400"/>
    </row>
    <row r="259">
      <c r="A259" s="400"/>
      <c r="B259" s="400"/>
      <c r="C259" s="400"/>
      <c r="D259" s="464"/>
      <c r="E259" s="464"/>
      <c r="F259" s="400"/>
      <c r="G259" s="400"/>
      <c r="H259" s="400"/>
      <c r="I259" s="400"/>
      <c r="J259" s="400"/>
      <c r="K259" s="400"/>
      <c r="L259" s="400"/>
      <c r="M259" s="400"/>
      <c r="N259" s="400"/>
    </row>
    <row r="260">
      <c r="A260" s="400"/>
      <c r="B260" s="400"/>
      <c r="C260" s="400"/>
      <c r="D260" s="464"/>
      <c r="E260" s="464"/>
      <c r="F260" s="400"/>
      <c r="G260" s="400"/>
      <c r="H260" s="400"/>
      <c r="I260" s="400"/>
      <c r="J260" s="400"/>
      <c r="K260" s="400"/>
      <c r="L260" s="400"/>
      <c r="M260" s="400"/>
      <c r="N260" s="400"/>
    </row>
    <row r="261">
      <c r="A261" s="400"/>
      <c r="B261" s="400"/>
      <c r="C261" s="400"/>
      <c r="D261" s="464"/>
      <c r="E261" s="464"/>
      <c r="F261" s="400"/>
      <c r="G261" s="400"/>
      <c r="H261" s="400"/>
      <c r="I261" s="400"/>
      <c r="J261" s="400"/>
      <c r="K261" s="400"/>
      <c r="L261" s="400"/>
      <c r="M261" s="400"/>
      <c r="N261" s="400"/>
    </row>
    <row r="262">
      <c r="A262" s="400"/>
      <c r="B262" s="400"/>
      <c r="C262" s="400"/>
      <c r="D262" s="464"/>
      <c r="E262" s="464"/>
      <c r="F262" s="400"/>
      <c r="G262" s="400"/>
      <c r="H262" s="400"/>
      <c r="I262" s="400"/>
      <c r="J262" s="400"/>
      <c r="K262" s="400"/>
      <c r="L262" s="400"/>
      <c r="M262" s="400"/>
      <c r="N262" s="400"/>
    </row>
    <row r="263">
      <c r="A263" s="400"/>
      <c r="B263" s="400"/>
      <c r="C263" s="400"/>
      <c r="D263" s="464"/>
      <c r="E263" s="464"/>
      <c r="F263" s="400"/>
      <c r="G263" s="400"/>
      <c r="H263" s="400"/>
      <c r="I263" s="400"/>
      <c r="J263" s="400"/>
      <c r="K263" s="400"/>
      <c r="L263" s="400"/>
      <c r="M263" s="400"/>
      <c r="N263" s="400"/>
    </row>
    <row r="264">
      <c r="A264" s="400"/>
      <c r="B264" s="400"/>
      <c r="C264" s="400"/>
      <c r="D264" s="464"/>
      <c r="E264" s="464"/>
      <c r="F264" s="400"/>
      <c r="G264" s="400"/>
      <c r="H264" s="400"/>
      <c r="I264" s="400"/>
      <c r="J264" s="400"/>
      <c r="K264" s="400"/>
      <c r="L264" s="400"/>
      <c r="M264" s="400"/>
      <c r="N264" s="400"/>
    </row>
    <row r="265">
      <c r="A265" s="400"/>
      <c r="B265" s="400"/>
      <c r="C265" s="400"/>
      <c r="D265" s="464"/>
      <c r="E265" s="464"/>
      <c r="F265" s="400"/>
      <c r="G265" s="400"/>
      <c r="H265" s="400"/>
      <c r="I265" s="400"/>
      <c r="J265" s="400"/>
      <c r="K265" s="400"/>
      <c r="L265" s="400"/>
      <c r="M265" s="400"/>
      <c r="N265" s="400"/>
    </row>
    <row r="266">
      <c r="A266" s="400"/>
      <c r="B266" s="400"/>
      <c r="C266" s="400"/>
      <c r="D266" s="464"/>
      <c r="E266" s="464"/>
      <c r="F266" s="400"/>
      <c r="G266" s="400"/>
      <c r="H266" s="400"/>
      <c r="I266" s="400"/>
      <c r="J266" s="400"/>
      <c r="K266" s="400"/>
      <c r="L266" s="400"/>
      <c r="M266" s="400"/>
      <c r="N266" s="400"/>
    </row>
    <row r="267">
      <c r="A267" s="400"/>
      <c r="B267" s="400"/>
      <c r="C267" s="400"/>
      <c r="D267" s="464"/>
      <c r="E267" s="464"/>
      <c r="F267" s="400"/>
      <c r="G267" s="400"/>
      <c r="H267" s="400"/>
      <c r="I267" s="400"/>
      <c r="J267" s="400"/>
      <c r="K267" s="400"/>
      <c r="L267" s="400"/>
      <c r="M267" s="400"/>
      <c r="N267" s="400"/>
    </row>
    <row r="268">
      <c r="A268" s="400"/>
      <c r="B268" s="400"/>
      <c r="C268" s="400"/>
      <c r="D268" s="464"/>
      <c r="E268" s="464"/>
      <c r="F268" s="400"/>
      <c r="G268" s="400"/>
      <c r="H268" s="400"/>
      <c r="I268" s="400"/>
      <c r="J268" s="400"/>
      <c r="K268" s="400"/>
      <c r="L268" s="400"/>
      <c r="M268" s="400"/>
      <c r="N268" s="400"/>
    </row>
    <row r="269">
      <c r="A269" s="400"/>
      <c r="B269" s="400"/>
      <c r="C269" s="400"/>
      <c r="D269" s="464"/>
      <c r="E269" s="464"/>
      <c r="F269" s="400"/>
      <c r="G269" s="400"/>
      <c r="H269" s="400"/>
      <c r="I269" s="400"/>
      <c r="J269" s="400"/>
      <c r="K269" s="400"/>
      <c r="L269" s="400"/>
      <c r="M269" s="400"/>
      <c r="N269" s="400"/>
    </row>
    <row r="270">
      <c r="A270" s="400"/>
      <c r="B270" s="400"/>
      <c r="C270" s="400"/>
      <c r="D270" s="464"/>
      <c r="E270" s="464"/>
      <c r="F270" s="400"/>
      <c r="G270" s="400"/>
      <c r="H270" s="400"/>
      <c r="I270" s="400"/>
      <c r="J270" s="400"/>
      <c r="K270" s="400"/>
      <c r="L270" s="400"/>
      <c r="M270" s="400"/>
      <c r="N270" s="400"/>
    </row>
    <row r="271">
      <c r="A271" s="400"/>
      <c r="B271" s="400"/>
      <c r="C271" s="400"/>
      <c r="D271" s="464"/>
      <c r="E271" s="464"/>
      <c r="F271" s="400"/>
      <c r="G271" s="400"/>
      <c r="H271" s="400"/>
      <c r="I271" s="400"/>
      <c r="J271" s="400"/>
      <c r="K271" s="400"/>
      <c r="L271" s="400"/>
      <c r="M271" s="400"/>
      <c r="N271" s="400"/>
    </row>
    <row r="272">
      <c r="A272" s="400"/>
      <c r="B272" s="400"/>
      <c r="C272" s="400"/>
      <c r="D272" s="464"/>
      <c r="E272" s="464"/>
      <c r="F272" s="400"/>
      <c r="G272" s="400"/>
      <c r="H272" s="400"/>
      <c r="I272" s="400"/>
      <c r="J272" s="400"/>
      <c r="K272" s="400"/>
      <c r="L272" s="400"/>
      <c r="M272" s="400"/>
      <c r="N272" s="400"/>
    </row>
    <row r="273">
      <c r="A273" s="400"/>
      <c r="B273" s="400"/>
      <c r="C273" s="400"/>
      <c r="D273" s="464"/>
      <c r="E273" s="464"/>
      <c r="F273" s="400"/>
      <c r="G273" s="400"/>
      <c r="H273" s="400"/>
      <c r="I273" s="400"/>
      <c r="J273" s="400"/>
      <c r="K273" s="400"/>
      <c r="L273" s="400"/>
      <c r="M273" s="400"/>
      <c r="N273" s="400"/>
    </row>
    <row r="274">
      <c r="A274" s="400"/>
      <c r="B274" s="400"/>
      <c r="C274" s="400"/>
      <c r="D274" s="464"/>
      <c r="E274" s="464"/>
      <c r="F274" s="400"/>
      <c r="G274" s="400"/>
      <c r="H274" s="400"/>
      <c r="I274" s="400"/>
      <c r="J274" s="400"/>
      <c r="K274" s="400"/>
      <c r="L274" s="400"/>
      <c r="M274" s="400"/>
      <c r="N274" s="400"/>
    </row>
    <row r="275">
      <c r="A275" s="400"/>
      <c r="B275" s="400"/>
      <c r="C275" s="400"/>
      <c r="D275" s="464"/>
      <c r="E275" s="464"/>
      <c r="F275" s="400"/>
      <c r="G275" s="400"/>
      <c r="H275" s="400"/>
      <c r="I275" s="400"/>
      <c r="J275" s="400"/>
      <c r="K275" s="400"/>
      <c r="L275" s="400"/>
      <c r="M275" s="400"/>
      <c r="N275" s="400"/>
    </row>
    <row r="276">
      <c r="A276" s="400"/>
      <c r="B276" s="400"/>
      <c r="C276" s="400"/>
      <c r="D276" s="464"/>
      <c r="E276" s="464"/>
      <c r="F276" s="400"/>
      <c r="G276" s="400"/>
      <c r="H276" s="400"/>
      <c r="I276" s="400"/>
      <c r="J276" s="400"/>
      <c r="K276" s="400"/>
      <c r="L276" s="400"/>
      <c r="M276" s="400"/>
      <c r="N276" s="400"/>
    </row>
    <row r="277">
      <c r="A277" s="400"/>
      <c r="B277" s="400"/>
      <c r="C277" s="400"/>
      <c r="D277" s="464"/>
      <c r="E277" s="464"/>
      <c r="F277" s="400"/>
      <c r="G277" s="400"/>
      <c r="H277" s="400"/>
      <c r="I277" s="400"/>
      <c r="J277" s="400"/>
      <c r="K277" s="400"/>
      <c r="L277" s="400"/>
      <c r="M277" s="400"/>
      <c r="N277" s="400"/>
    </row>
    <row r="278">
      <c r="A278" s="400"/>
      <c r="B278" s="400"/>
      <c r="C278" s="400"/>
      <c r="D278" s="464"/>
      <c r="E278" s="464"/>
      <c r="F278" s="400"/>
      <c r="G278" s="400"/>
      <c r="H278" s="400"/>
      <c r="I278" s="400"/>
      <c r="J278" s="400"/>
      <c r="K278" s="400"/>
      <c r="L278" s="400"/>
      <c r="M278" s="400"/>
      <c r="N278" s="400"/>
    </row>
    <row r="279">
      <c r="A279" s="400"/>
      <c r="B279" s="400"/>
      <c r="C279" s="400"/>
      <c r="D279" s="464"/>
      <c r="E279" s="464"/>
      <c r="F279" s="400"/>
      <c r="G279" s="400"/>
      <c r="H279" s="400"/>
      <c r="I279" s="400"/>
      <c r="J279" s="400"/>
      <c r="K279" s="400"/>
      <c r="L279" s="400"/>
      <c r="M279" s="400"/>
      <c r="N279" s="400"/>
    </row>
    <row r="280">
      <c r="A280" s="400"/>
      <c r="B280" s="400"/>
      <c r="C280" s="400"/>
      <c r="D280" s="464"/>
      <c r="E280" s="464"/>
      <c r="F280" s="400"/>
      <c r="G280" s="400"/>
      <c r="H280" s="400"/>
      <c r="I280" s="400"/>
      <c r="J280" s="400"/>
      <c r="K280" s="400"/>
      <c r="L280" s="400"/>
      <c r="M280" s="400"/>
      <c r="N280" s="400"/>
    </row>
    <row r="281">
      <c r="A281" s="400"/>
      <c r="B281" s="400"/>
      <c r="C281" s="400"/>
      <c r="D281" s="464"/>
      <c r="E281" s="464"/>
      <c r="F281" s="400"/>
      <c r="G281" s="400"/>
      <c r="H281" s="400"/>
      <c r="I281" s="400"/>
      <c r="J281" s="400"/>
      <c r="K281" s="400"/>
      <c r="L281" s="400"/>
      <c r="M281" s="400"/>
      <c r="N281" s="400"/>
    </row>
    <row r="282">
      <c r="A282" s="400"/>
      <c r="B282" s="400"/>
      <c r="C282" s="400"/>
      <c r="D282" s="464"/>
      <c r="E282" s="464"/>
      <c r="F282" s="400"/>
      <c r="G282" s="400"/>
      <c r="H282" s="400"/>
      <c r="I282" s="400"/>
      <c r="J282" s="400"/>
      <c r="K282" s="400"/>
      <c r="L282" s="400"/>
      <c r="M282" s="400"/>
      <c r="N282" s="400"/>
    </row>
    <row r="283">
      <c r="A283" s="400"/>
      <c r="B283" s="400"/>
      <c r="C283" s="400"/>
      <c r="D283" s="464"/>
      <c r="E283" s="464"/>
      <c r="F283" s="400"/>
      <c r="G283" s="400"/>
      <c r="H283" s="400"/>
      <c r="I283" s="400"/>
      <c r="J283" s="400"/>
      <c r="K283" s="400"/>
      <c r="L283" s="400"/>
      <c r="M283" s="400"/>
      <c r="N283" s="400"/>
    </row>
    <row r="284">
      <c r="A284" s="400"/>
      <c r="B284" s="400"/>
      <c r="C284" s="400"/>
      <c r="D284" s="464"/>
      <c r="E284" s="464"/>
      <c r="F284" s="400"/>
      <c r="G284" s="400"/>
      <c r="H284" s="400"/>
      <c r="I284" s="400"/>
      <c r="J284" s="400"/>
      <c r="K284" s="400"/>
      <c r="L284" s="400"/>
      <c r="M284" s="400"/>
      <c r="N284" s="400"/>
    </row>
    <row r="285">
      <c r="A285" s="400"/>
      <c r="B285" s="400"/>
      <c r="C285" s="400"/>
      <c r="D285" s="464"/>
      <c r="E285" s="464"/>
      <c r="F285" s="400"/>
      <c r="G285" s="400"/>
      <c r="H285" s="400"/>
      <c r="I285" s="400"/>
      <c r="J285" s="400"/>
      <c r="K285" s="400"/>
      <c r="L285" s="400"/>
      <c r="M285" s="400"/>
      <c r="N285" s="400"/>
    </row>
    <row r="286">
      <c r="A286" s="400"/>
      <c r="B286" s="400"/>
      <c r="C286" s="400"/>
      <c r="D286" s="464"/>
      <c r="E286" s="464"/>
      <c r="F286" s="400"/>
      <c r="G286" s="400"/>
      <c r="H286" s="400"/>
      <c r="I286" s="400"/>
      <c r="J286" s="400"/>
      <c r="K286" s="400"/>
      <c r="L286" s="400"/>
      <c r="M286" s="400"/>
      <c r="N286" s="400"/>
    </row>
    <row r="287">
      <c r="A287" s="400"/>
      <c r="B287" s="400"/>
      <c r="C287" s="400"/>
      <c r="D287" s="464"/>
      <c r="E287" s="464"/>
      <c r="F287" s="400"/>
      <c r="G287" s="400"/>
      <c r="H287" s="400"/>
      <c r="I287" s="400"/>
      <c r="J287" s="400"/>
      <c r="K287" s="400"/>
      <c r="L287" s="400"/>
      <c r="M287" s="400"/>
      <c r="N287" s="400"/>
    </row>
    <row r="288">
      <c r="A288" s="400"/>
      <c r="B288" s="400"/>
      <c r="C288" s="400"/>
      <c r="D288" s="464"/>
      <c r="E288" s="464"/>
      <c r="F288" s="400"/>
      <c r="G288" s="400"/>
      <c r="H288" s="400"/>
      <c r="I288" s="400"/>
      <c r="J288" s="400"/>
      <c r="K288" s="400"/>
      <c r="L288" s="400"/>
      <c r="M288" s="400"/>
      <c r="N288" s="400"/>
    </row>
    <row r="289">
      <c r="A289" s="400"/>
      <c r="B289" s="400"/>
      <c r="C289" s="400"/>
      <c r="D289" s="464"/>
      <c r="E289" s="464"/>
      <c r="F289" s="400"/>
      <c r="G289" s="400"/>
      <c r="H289" s="400"/>
      <c r="I289" s="400"/>
      <c r="J289" s="400"/>
      <c r="K289" s="400"/>
      <c r="L289" s="400"/>
      <c r="M289" s="400"/>
      <c r="N289" s="400"/>
    </row>
    <row r="290">
      <c r="A290" s="400"/>
      <c r="B290" s="400"/>
      <c r="C290" s="400"/>
      <c r="D290" s="464"/>
      <c r="E290" s="464"/>
      <c r="F290" s="400"/>
      <c r="G290" s="400"/>
      <c r="H290" s="400"/>
      <c r="I290" s="400"/>
      <c r="J290" s="400"/>
      <c r="K290" s="400"/>
      <c r="L290" s="400"/>
      <c r="M290" s="400"/>
      <c r="N290" s="400"/>
    </row>
    <row r="291">
      <c r="A291" s="400"/>
      <c r="B291" s="400"/>
      <c r="C291" s="400"/>
      <c r="D291" s="464"/>
      <c r="E291" s="464"/>
      <c r="F291" s="400"/>
      <c r="G291" s="400"/>
      <c r="H291" s="400"/>
      <c r="I291" s="400"/>
      <c r="J291" s="400"/>
      <c r="K291" s="400"/>
      <c r="L291" s="400"/>
      <c r="M291" s="400"/>
      <c r="N291" s="400"/>
    </row>
    <row r="292">
      <c r="A292" s="400"/>
      <c r="B292" s="400"/>
      <c r="C292" s="400"/>
      <c r="D292" s="464"/>
      <c r="E292" s="464"/>
      <c r="F292" s="400"/>
      <c r="G292" s="400"/>
      <c r="H292" s="400"/>
      <c r="I292" s="400"/>
      <c r="J292" s="400"/>
      <c r="K292" s="400"/>
      <c r="L292" s="400"/>
      <c r="M292" s="400"/>
      <c r="N292" s="400"/>
    </row>
    <row r="293">
      <c r="A293" s="400"/>
      <c r="B293" s="400"/>
      <c r="C293" s="400"/>
      <c r="D293" s="464"/>
      <c r="E293" s="464"/>
      <c r="F293" s="400"/>
      <c r="G293" s="400"/>
      <c r="H293" s="400"/>
      <c r="I293" s="400"/>
      <c r="J293" s="400"/>
      <c r="K293" s="400"/>
      <c r="L293" s="400"/>
      <c r="M293" s="400"/>
      <c r="N293" s="400"/>
    </row>
    <row r="294">
      <c r="A294" s="400"/>
      <c r="B294" s="400"/>
      <c r="C294" s="400"/>
      <c r="D294" s="464"/>
      <c r="E294" s="464"/>
      <c r="F294" s="400"/>
      <c r="G294" s="400"/>
      <c r="H294" s="400"/>
      <c r="I294" s="400"/>
      <c r="J294" s="400"/>
      <c r="K294" s="400"/>
      <c r="L294" s="400"/>
      <c r="M294" s="400"/>
      <c r="N294" s="400"/>
    </row>
    <row r="295">
      <c r="A295" s="400"/>
      <c r="B295" s="400"/>
      <c r="C295" s="400"/>
      <c r="D295" s="464"/>
      <c r="E295" s="464"/>
      <c r="F295" s="400"/>
      <c r="G295" s="400"/>
      <c r="H295" s="400"/>
      <c r="I295" s="400"/>
      <c r="J295" s="400"/>
      <c r="K295" s="400"/>
      <c r="L295" s="400"/>
      <c r="M295" s="400"/>
      <c r="N295" s="400"/>
    </row>
    <row r="296">
      <c r="A296" s="400"/>
      <c r="B296" s="400"/>
      <c r="C296" s="400"/>
      <c r="D296" s="464"/>
      <c r="E296" s="464"/>
      <c r="F296" s="400"/>
      <c r="G296" s="400"/>
      <c r="H296" s="400"/>
      <c r="I296" s="400"/>
      <c r="J296" s="400"/>
      <c r="K296" s="400"/>
      <c r="L296" s="400"/>
      <c r="M296" s="400"/>
      <c r="N296" s="400"/>
    </row>
    <row r="297">
      <c r="A297" s="400"/>
      <c r="B297" s="400"/>
      <c r="C297" s="400"/>
      <c r="D297" s="464"/>
      <c r="E297" s="464"/>
      <c r="F297" s="400"/>
      <c r="G297" s="400"/>
      <c r="H297" s="400"/>
      <c r="I297" s="400"/>
      <c r="J297" s="400"/>
      <c r="K297" s="400"/>
      <c r="L297" s="400"/>
      <c r="M297" s="400"/>
      <c r="N297" s="400"/>
    </row>
    <row r="298">
      <c r="A298" s="400"/>
      <c r="B298" s="400"/>
      <c r="C298" s="400"/>
      <c r="D298" s="464"/>
      <c r="E298" s="464"/>
      <c r="F298" s="400"/>
      <c r="G298" s="400"/>
      <c r="H298" s="400"/>
      <c r="I298" s="400"/>
      <c r="J298" s="400"/>
      <c r="K298" s="400"/>
      <c r="L298" s="400"/>
      <c r="M298" s="400"/>
      <c r="N298" s="400"/>
    </row>
    <row r="299">
      <c r="A299" s="400"/>
      <c r="B299" s="400"/>
      <c r="C299" s="400"/>
      <c r="D299" s="464"/>
      <c r="E299" s="464"/>
      <c r="F299" s="400"/>
      <c r="G299" s="400"/>
      <c r="H299" s="400"/>
      <c r="I299" s="400"/>
      <c r="J299" s="400"/>
      <c r="K299" s="400"/>
      <c r="L299" s="400"/>
      <c r="M299" s="400"/>
      <c r="N299" s="400"/>
    </row>
    <row r="300">
      <c r="A300" s="400"/>
      <c r="B300" s="400"/>
      <c r="C300" s="400"/>
      <c r="D300" s="464"/>
      <c r="E300" s="464"/>
      <c r="F300" s="400"/>
      <c r="G300" s="400"/>
      <c r="H300" s="400"/>
      <c r="I300" s="400"/>
      <c r="J300" s="400"/>
      <c r="K300" s="400"/>
      <c r="L300" s="400"/>
      <c r="M300" s="400"/>
      <c r="N300" s="400"/>
    </row>
    <row r="301">
      <c r="A301" s="400"/>
      <c r="B301" s="400"/>
      <c r="C301" s="400"/>
      <c r="D301" s="464"/>
      <c r="E301" s="464"/>
      <c r="F301" s="400"/>
      <c r="G301" s="400"/>
      <c r="H301" s="400"/>
      <c r="I301" s="400"/>
      <c r="J301" s="400"/>
      <c r="K301" s="400"/>
      <c r="L301" s="400"/>
      <c r="M301" s="400"/>
      <c r="N301" s="400"/>
    </row>
    <row r="302">
      <c r="A302" s="400"/>
      <c r="B302" s="400"/>
      <c r="C302" s="400"/>
      <c r="D302" s="464"/>
      <c r="E302" s="464"/>
      <c r="F302" s="400"/>
      <c r="G302" s="400"/>
      <c r="H302" s="400"/>
      <c r="I302" s="400"/>
      <c r="J302" s="400"/>
      <c r="K302" s="400"/>
      <c r="L302" s="400"/>
      <c r="M302" s="400"/>
      <c r="N302" s="400"/>
    </row>
    <row r="303">
      <c r="A303" s="400"/>
      <c r="B303" s="400"/>
      <c r="C303" s="400"/>
      <c r="D303" s="464"/>
      <c r="E303" s="464"/>
      <c r="F303" s="400"/>
      <c r="G303" s="400"/>
      <c r="H303" s="400"/>
      <c r="I303" s="400"/>
      <c r="J303" s="400"/>
      <c r="K303" s="400"/>
      <c r="L303" s="400"/>
      <c r="M303" s="400"/>
      <c r="N303" s="400"/>
    </row>
    <row r="304">
      <c r="A304" s="400"/>
      <c r="B304" s="400"/>
      <c r="C304" s="400"/>
      <c r="D304" s="464"/>
      <c r="E304" s="464"/>
      <c r="F304" s="400"/>
      <c r="G304" s="400"/>
      <c r="H304" s="400"/>
      <c r="I304" s="400"/>
      <c r="J304" s="400"/>
      <c r="K304" s="400"/>
      <c r="L304" s="400"/>
      <c r="M304" s="400"/>
      <c r="N304" s="400"/>
    </row>
    <row r="305">
      <c r="A305" s="400"/>
      <c r="B305" s="400"/>
      <c r="C305" s="400"/>
      <c r="D305" s="464"/>
      <c r="E305" s="464"/>
      <c r="F305" s="400"/>
      <c r="G305" s="400"/>
      <c r="H305" s="400"/>
      <c r="I305" s="400"/>
      <c r="J305" s="400"/>
      <c r="K305" s="400"/>
      <c r="L305" s="400"/>
      <c r="M305" s="400"/>
      <c r="N305" s="400"/>
    </row>
    <row r="306">
      <c r="A306" s="400"/>
      <c r="B306" s="400"/>
      <c r="C306" s="400"/>
      <c r="D306" s="464"/>
      <c r="E306" s="464"/>
      <c r="F306" s="400"/>
      <c r="G306" s="400"/>
      <c r="H306" s="400"/>
      <c r="I306" s="400"/>
      <c r="J306" s="400"/>
      <c r="K306" s="400"/>
      <c r="L306" s="400"/>
      <c r="M306" s="400"/>
      <c r="N306" s="400"/>
    </row>
    <row r="307">
      <c r="A307" s="400"/>
      <c r="B307" s="400"/>
      <c r="C307" s="400"/>
      <c r="D307" s="464"/>
      <c r="E307" s="464"/>
      <c r="F307" s="400"/>
      <c r="G307" s="400"/>
      <c r="H307" s="400"/>
      <c r="I307" s="400"/>
      <c r="J307" s="400"/>
      <c r="K307" s="400"/>
      <c r="L307" s="400"/>
      <c r="M307" s="400"/>
      <c r="N307" s="400"/>
    </row>
    <row r="308">
      <c r="A308" s="400"/>
      <c r="B308" s="400"/>
      <c r="C308" s="400"/>
      <c r="D308" s="464"/>
      <c r="E308" s="464"/>
      <c r="F308" s="400"/>
      <c r="G308" s="400"/>
      <c r="H308" s="400"/>
      <c r="I308" s="400"/>
      <c r="J308" s="400"/>
      <c r="K308" s="400"/>
      <c r="L308" s="400"/>
      <c r="M308" s="400"/>
      <c r="N308" s="400"/>
    </row>
    <row r="309">
      <c r="A309" s="400"/>
      <c r="B309" s="400"/>
      <c r="C309" s="400"/>
      <c r="D309" s="464"/>
      <c r="E309" s="464"/>
      <c r="F309" s="400"/>
      <c r="G309" s="400"/>
      <c r="H309" s="400"/>
      <c r="I309" s="400"/>
      <c r="J309" s="400"/>
      <c r="K309" s="400"/>
      <c r="L309" s="400"/>
      <c r="M309" s="400"/>
      <c r="N309" s="400"/>
    </row>
    <row r="310">
      <c r="A310" s="400"/>
      <c r="B310" s="400"/>
      <c r="C310" s="400"/>
      <c r="D310" s="464"/>
      <c r="E310" s="464"/>
      <c r="F310" s="400"/>
      <c r="G310" s="400"/>
      <c r="H310" s="400"/>
      <c r="I310" s="400"/>
      <c r="J310" s="400"/>
      <c r="K310" s="400"/>
      <c r="L310" s="400"/>
      <c r="M310" s="400"/>
      <c r="N310" s="400"/>
    </row>
    <row r="311">
      <c r="A311" s="400"/>
      <c r="B311" s="400"/>
      <c r="C311" s="400"/>
      <c r="D311" s="464"/>
      <c r="E311" s="464"/>
      <c r="F311" s="400"/>
      <c r="G311" s="400"/>
      <c r="H311" s="400"/>
      <c r="I311" s="400"/>
      <c r="J311" s="400"/>
      <c r="K311" s="400"/>
      <c r="L311" s="400"/>
      <c r="M311" s="400"/>
      <c r="N311" s="400"/>
    </row>
    <row r="312">
      <c r="A312" s="400"/>
      <c r="B312" s="400"/>
      <c r="C312" s="400"/>
      <c r="D312" s="464"/>
      <c r="E312" s="464"/>
      <c r="F312" s="400"/>
      <c r="G312" s="400"/>
      <c r="H312" s="400"/>
      <c r="I312" s="400"/>
      <c r="J312" s="400"/>
      <c r="K312" s="400"/>
      <c r="L312" s="400"/>
      <c r="M312" s="400"/>
      <c r="N312" s="400"/>
    </row>
    <row r="313">
      <c r="A313" s="400"/>
      <c r="B313" s="400"/>
      <c r="C313" s="400"/>
      <c r="D313" s="464"/>
      <c r="E313" s="464"/>
      <c r="F313" s="400"/>
      <c r="G313" s="400"/>
      <c r="H313" s="400"/>
      <c r="I313" s="400"/>
      <c r="J313" s="400"/>
      <c r="K313" s="400"/>
      <c r="L313" s="400"/>
      <c r="M313" s="400"/>
      <c r="N313" s="400"/>
    </row>
    <row r="314">
      <c r="A314" s="400"/>
      <c r="B314" s="400"/>
      <c r="C314" s="400"/>
      <c r="D314" s="464"/>
      <c r="E314" s="464"/>
      <c r="F314" s="400"/>
      <c r="G314" s="400"/>
      <c r="H314" s="400"/>
      <c r="I314" s="400"/>
      <c r="J314" s="400"/>
      <c r="K314" s="400"/>
      <c r="L314" s="400"/>
      <c r="M314" s="400"/>
      <c r="N314" s="400"/>
    </row>
    <row r="315">
      <c r="A315" s="400"/>
      <c r="B315" s="400"/>
      <c r="C315" s="400"/>
      <c r="D315" s="464"/>
      <c r="E315" s="464"/>
      <c r="F315" s="400"/>
      <c r="G315" s="400"/>
      <c r="H315" s="400"/>
      <c r="I315" s="400"/>
      <c r="J315" s="400"/>
      <c r="K315" s="400"/>
      <c r="L315" s="400"/>
      <c r="M315" s="400"/>
      <c r="N315" s="400"/>
    </row>
    <row r="316">
      <c r="A316" s="400"/>
      <c r="B316" s="400"/>
      <c r="C316" s="400"/>
      <c r="D316" s="464"/>
      <c r="E316" s="464"/>
      <c r="F316" s="400"/>
      <c r="G316" s="400"/>
      <c r="H316" s="400"/>
      <c r="I316" s="400"/>
      <c r="J316" s="400"/>
      <c r="K316" s="400"/>
      <c r="L316" s="400"/>
      <c r="M316" s="400"/>
      <c r="N316" s="400"/>
    </row>
    <row r="317">
      <c r="A317" s="400"/>
      <c r="B317" s="400"/>
      <c r="C317" s="400"/>
      <c r="D317" s="464"/>
      <c r="E317" s="464"/>
      <c r="F317" s="400"/>
      <c r="G317" s="400"/>
      <c r="H317" s="400"/>
      <c r="I317" s="400"/>
      <c r="J317" s="400"/>
      <c r="K317" s="400"/>
      <c r="L317" s="400"/>
      <c r="M317" s="400"/>
      <c r="N317" s="400"/>
    </row>
    <row r="318">
      <c r="A318" s="400"/>
      <c r="B318" s="400"/>
      <c r="C318" s="400"/>
      <c r="D318" s="464"/>
      <c r="E318" s="464"/>
      <c r="F318" s="400"/>
      <c r="G318" s="400"/>
      <c r="H318" s="400"/>
      <c r="I318" s="400"/>
      <c r="J318" s="400"/>
      <c r="K318" s="400"/>
      <c r="L318" s="400"/>
      <c r="M318" s="400"/>
      <c r="N318" s="400"/>
    </row>
    <row r="319">
      <c r="A319" s="400"/>
      <c r="B319" s="400"/>
      <c r="C319" s="400"/>
      <c r="D319" s="464"/>
      <c r="E319" s="464"/>
      <c r="F319" s="400"/>
      <c r="G319" s="400"/>
      <c r="H319" s="400"/>
      <c r="I319" s="400"/>
      <c r="J319" s="400"/>
      <c r="K319" s="400"/>
      <c r="L319" s="400"/>
      <c r="M319" s="400"/>
      <c r="N319" s="400"/>
    </row>
    <row r="320">
      <c r="A320" s="400"/>
      <c r="B320" s="400"/>
      <c r="C320" s="400"/>
      <c r="D320" s="464"/>
      <c r="E320" s="464"/>
      <c r="F320" s="400"/>
      <c r="G320" s="400"/>
      <c r="H320" s="400"/>
      <c r="I320" s="400"/>
      <c r="J320" s="400"/>
      <c r="K320" s="400"/>
      <c r="L320" s="400"/>
      <c r="M320" s="400"/>
      <c r="N320" s="400"/>
    </row>
    <row r="321">
      <c r="A321" s="400"/>
      <c r="B321" s="400"/>
      <c r="C321" s="400"/>
      <c r="D321" s="464"/>
      <c r="E321" s="464"/>
      <c r="F321" s="400"/>
      <c r="G321" s="400"/>
      <c r="H321" s="400"/>
      <c r="I321" s="400"/>
      <c r="J321" s="400"/>
      <c r="K321" s="400"/>
      <c r="L321" s="400"/>
      <c r="M321" s="400"/>
      <c r="N321" s="400"/>
    </row>
    <row r="322">
      <c r="A322" s="400"/>
      <c r="B322" s="400"/>
      <c r="C322" s="400"/>
      <c r="D322" s="464"/>
      <c r="E322" s="464"/>
      <c r="F322" s="400"/>
      <c r="G322" s="400"/>
      <c r="H322" s="400"/>
      <c r="I322" s="400"/>
      <c r="J322" s="400"/>
      <c r="K322" s="400"/>
      <c r="L322" s="400"/>
      <c r="M322" s="400"/>
      <c r="N322" s="400"/>
    </row>
    <row r="323">
      <c r="A323" s="400"/>
      <c r="B323" s="400"/>
      <c r="C323" s="400"/>
      <c r="D323" s="464"/>
      <c r="E323" s="464"/>
      <c r="F323" s="400"/>
      <c r="G323" s="400"/>
      <c r="H323" s="400"/>
      <c r="I323" s="400"/>
      <c r="J323" s="400"/>
      <c r="K323" s="400"/>
      <c r="L323" s="400"/>
      <c r="M323" s="400"/>
      <c r="N323" s="400"/>
    </row>
    <row r="324">
      <c r="A324" s="400"/>
      <c r="B324" s="400"/>
      <c r="C324" s="400"/>
      <c r="D324" s="464"/>
      <c r="E324" s="464"/>
      <c r="F324" s="400"/>
      <c r="G324" s="400"/>
      <c r="H324" s="400"/>
      <c r="I324" s="400"/>
      <c r="J324" s="400"/>
      <c r="K324" s="400"/>
      <c r="L324" s="400"/>
      <c r="M324" s="400"/>
      <c r="N324" s="400"/>
    </row>
    <row r="325">
      <c r="A325" s="400"/>
      <c r="B325" s="400"/>
      <c r="C325" s="400"/>
      <c r="D325" s="464"/>
      <c r="E325" s="464"/>
      <c r="F325" s="400"/>
      <c r="G325" s="400"/>
      <c r="H325" s="400"/>
      <c r="I325" s="400"/>
      <c r="J325" s="400"/>
      <c r="K325" s="400"/>
      <c r="L325" s="400"/>
      <c r="M325" s="400"/>
      <c r="N325" s="400"/>
    </row>
    <row r="326">
      <c r="A326" s="400"/>
      <c r="B326" s="400"/>
      <c r="C326" s="400"/>
      <c r="D326" s="464"/>
      <c r="E326" s="464"/>
      <c r="F326" s="400"/>
      <c r="G326" s="400"/>
      <c r="H326" s="400"/>
      <c r="I326" s="400"/>
      <c r="J326" s="400"/>
      <c r="K326" s="400"/>
      <c r="L326" s="400"/>
      <c r="M326" s="400"/>
      <c r="N326" s="400"/>
    </row>
    <row r="327">
      <c r="A327" s="400"/>
      <c r="B327" s="400"/>
      <c r="C327" s="400"/>
      <c r="D327" s="464"/>
      <c r="E327" s="464"/>
      <c r="F327" s="400"/>
      <c r="G327" s="400"/>
      <c r="H327" s="400"/>
      <c r="I327" s="400"/>
      <c r="J327" s="400"/>
      <c r="K327" s="400"/>
      <c r="L327" s="400"/>
      <c r="M327" s="400"/>
      <c r="N327" s="400"/>
    </row>
    <row r="328">
      <c r="A328" s="400"/>
      <c r="B328" s="400"/>
      <c r="C328" s="400"/>
      <c r="D328" s="464"/>
      <c r="E328" s="464"/>
      <c r="F328" s="400"/>
      <c r="G328" s="400"/>
      <c r="H328" s="400"/>
      <c r="I328" s="400"/>
      <c r="J328" s="400"/>
      <c r="K328" s="400"/>
      <c r="L328" s="400"/>
      <c r="M328" s="400"/>
      <c r="N328" s="400"/>
    </row>
    <row r="329">
      <c r="A329" s="400"/>
      <c r="B329" s="400"/>
      <c r="C329" s="400"/>
      <c r="D329" s="464"/>
      <c r="E329" s="464"/>
      <c r="F329" s="400"/>
      <c r="G329" s="400"/>
      <c r="H329" s="400"/>
      <c r="I329" s="400"/>
      <c r="J329" s="400"/>
      <c r="K329" s="400"/>
      <c r="L329" s="400"/>
      <c r="M329" s="400"/>
      <c r="N329" s="400"/>
    </row>
    <row r="330">
      <c r="A330" s="400"/>
      <c r="B330" s="400"/>
      <c r="C330" s="400"/>
      <c r="D330" s="464"/>
      <c r="E330" s="464"/>
      <c r="F330" s="400"/>
      <c r="G330" s="400"/>
      <c r="H330" s="400"/>
      <c r="I330" s="400"/>
      <c r="J330" s="400"/>
      <c r="K330" s="400"/>
      <c r="L330" s="400"/>
      <c r="M330" s="400"/>
      <c r="N330" s="400"/>
    </row>
    <row r="331">
      <c r="A331" s="400"/>
      <c r="B331" s="400"/>
      <c r="C331" s="400"/>
      <c r="D331" s="464"/>
      <c r="E331" s="464"/>
      <c r="F331" s="400"/>
      <c r="G331" s="400"/>
      <c r="H331" s="400"/>
      <c r="I331" s="400"/>
      <c r="J331" s="400"/>
      <c r="K331" s="400"/>
      <c r="L331" s="400"/>
      <c r="M331" s="400"/>
      <c r="N331" s="400"/>
    </row>
    <row r="332">
      <c r="A332" s="400"/>
      <c r="B332" s="400"/>
      <c r="C332" s="400"/>
      <c r="D332" s="464"/>
      <c r="E332" s="464"/>
      <c r="F332" s="400"/>
      <c r="G332" s="400"/>
      <c r="H332" s="400"/>
      <c r="I332" s="400"/>
      <c r="J332" s="400"/>
      <c r="K332" s="400"/>
      <c r="L332" s="400"/>
      <c r="M332" s="400"/>
      <c r="N332" s="400"/>
    </row>
    <row r="333">
      <c r="A333" s="400"/>
      <c r="B333" s="400"/>
      <c r="C333" s="400"/>
      <c r="D333" s="464"/>
      <c r="E333" s="464"/>
      <c r="F333" s="400"/>
      <c r="G333" s="400"/>
      <c r="H333" s="400"/>
      <c r="I333" s="400"/>
      <c r="J333" s="400"/>
      <c r="K333" s="400"/>
      <c r="L333" s="400"/>
      <c r="M333" s="400"/>
      <c r="N333" s="400"/>
    </row>
    <row r="334">
      <c r="A334" s="400"/>
      <c r="B334" s="400"/>
      <c r="C334" s="400"/>
      <c r="D334" s="464"/>
      <c r="E334" s="464"/>
      <c r="F334" s="400"/>
      <c r="G334" s="400"/>
      <c r="H334" s="400"/>
      <c r="I334" s="400"/>
      <c r="J334" s="400"/>
      <c r="K334" s="400"/>
      <c r="L334" s="400"/>
      <c r="M334" s="400"/>
      <c r="N334" s="400"/>
    </row>
    <row r="335">
      <c r="A335" s="400"/>
      <c r="B335" s="400"/>
      <c r="C335" s="400"/>
      <c r="D335" s="464"/>
      <c r="E335" s="464"/>
      <c r="F335" s="400"/>
      <c r="G335" s="400"/>
      <c r="H335" s="400"/>
      <c r="I335" s="400"/>
      <c r="J335" s="400"/>
      <c r="K335" s="400"/>
      <c r="L335" s="400"/>
      <c r="M335" s="400"/>
      <c r="N335" s="400"/>
    </row>
    <row r="336">
      <c r="A336" s="400"/>
      <c r="B336" s="400"/>
      <c r="C336" s="400"/>
      <c r="D336" s="464"/>
      <c r="E336" s="464"/>
      <c r="F336" s="400"/>
      <c r="G336" s="400"/>
      <c r="H336" s="400"/>
      <c r="I336" s="400"/>
      <c r="J336" s="400"/>
      <c r="K336" s="400"/>
      <c r="L336" s="400"/>
      <c r="M336" s="400"/>
      <c r="N336" s="400"/>
    </row>
    <row r="337">
      <c r="A337" s="400"/>
      <c r="B337" s="400"/>
      <c r="C337" s="400"/>
      <c r="D337" s="464"/>
      <c r="E337" s="464"/>
      <c r="F337" s="400"/>
      <c r="G337" s="400"/>
      <c r="H337" s="400"/>
      <c r="I337" s="400"/>
      <c r="J337" s="400"/>
      <c r="K337" s="400"/>
      <c r="L337" s="400"/>
      <c r="M337" s="400"/>
      <c r="N337" s="400"/>
    </row>
    <row r="338">
      <c r="A338" s="400"/>
      <c r="B338" s="400"/>
      <c r="C338" s="400"/>
      <c r="D338" s="464"/>
      <c r="E338" s="464"/>
      <c r="F338" s="400"/>
      <c r="G338" s="400"/>
      <c r="H338" s="400"/>
      <c r="I338" s="400"/>
      <c r="J338" s="400"/>
      <c r="K338" s="400"/>
      <c r="L338" s="400"/>
      <c r="M338" s="400"/>
      <c r="N338" s="400"/>
    </row>
    <row r="339">
      <c r="A339" s="400"/>
      <c r="B339" s="400"/>
      <c r="C339" s="400"/>
      <c r="D339" s="464"/>
      <c r="E339" s="464"/>
      <c r="F339" s="400"/>
      <c r="G339" s="400"/>
      <c r="H339" s="400"/>
      <c r="I339" s="400"/>
      <c r="J339" s="400"/>
      <c r="K339" s="400"/>
      <c r="L339" s="400"/>
      <c r="M339" s="400"/>
      <c r="N339" s="400"/>
    </row>
    <row r="340">
      <c r="A340" s="400"/>
      <c r="B340" s="400"/>
      <c r="C340" s="400"/>
      <c r="D340" s="464"/>
      <c r="E340" s="464"/>
      <c r="F340" s="400"/>
      <c r="G340" s="400"/>
      <c r="H340" s="400"/>
      <c r="I340" s="400"/>
      <c r="J340" s="400"/>
      <c r="K340" s="400"/>
      <c r="L340" s="400"/>
      <c r="M340" s="400"/>
      <c r="N340" s="400"/>
    </row>
    <row r="341">
      <c r="A341" s="400"/>
      <c r="B341" s="400"/>
      <c r="C341" s="400"/>
      <c r="D341" s="464"/>
      <c r="E341" s="464"/>
      <c r="F341" s="400"/>
      <c r="G341" s="400"/>
      <c r="H341" s="400"/>
      <c r="I341" s="400"/>
      <c r="J341" s="400"/>
      <c r="K341" s="400"/>
      <c r="L341" s="400"/>
      <c r="M341" s="400"/>
      <c r="N341" s="400"/>
    </row>
    <row r="342">
      <c r="A342" s="400"/>
      <c r="B342" s="400"/>
      <c r="C342" s="400"/>
      <c r="D342" s="464"/>
      <c r="E342" s="464"/>
      <c r="F342" s="400"/>
      <c r="G342" s="400"/>
      <c r="H342" s="400"/>
      <c r="I342" s="400"/>
      <c r="J342" s="400"/>
      <c r="K342" s="400"/>
      <c r="L342" s="400"/>
      <c r="M342" s="400"/>
      <c r="N342" s="400"/>
    </row>
    <row r="343">
      <c r="A343" s="400"/>
      <c r="B343" s="400"/>
      <c r="C343" s="400"/>
      <c r="D343" s="464"/>
      <c r="E343" s="464"/>
      <c r="F343" s="400"/>
      <c r="G343" s="400"/>
      <c r="H343" s="400"/>
      <c r="I343" s="400"/>
      <c r="J343" s="400"/>
      <c r="K343" s="400"/>
      <c r="L343" s="400"/>
      <c r="M343" s="400"/>
      <c r="N343" s="400"/>
    </row>
    <row r="344">
      <c r="A344" s="400"/>
      <c r="B344" s="400"/>
      <c r="C344" s="400"/>
      <c r="D344" s="464"/>
      <c r="E344" s="464"/>
      <c r="F344" s="400"/>
      <c r="G344" s="400"/>
      <c r="H344" s="400"/>
      <c r="I344" s="400"/>
      <c r="J344" s="400"/>
      <c r="K344" s="400"/>
      <c r="L344" s="400"/>
      <c r="M344" s="400"/>
      <c r="N344" s="400"/>
    </row>
    <row r="345">
      <c r="A345" s="400"/>
      <c r="B345" s="400"/>
      <c r="C345" s="400"/>
      <c r="D345" s="464"/>
      <c r="E345" s="464"/>
      <c r="F345" s="400"/>
      <c r="G345" s="400"/>
      <c r="H345" s="400"/>
      <c r="I345" s="400"/>
      <c r="J345" s="400"/>
      <c r="K345" s="400"/>
      <c r="L345" s="400"/>
      <c r="M345" s="400"/>
      <c r="N345" s="400"/>
    </row>
    <row r="346">
      <c r="A346" s="400"/>
      <c r="B346" s="400"/>
      <c r="C346" s="400"/>
      <c r="D346" s="464"/>
      <c r="E346" s="464"/>
      <c r="F346" s="400"/>
      <c r="G346" s="400"/>
      <c r="H346" s="400"/>
      <c r="I346" s="400"/>
      <c r="J346" s="400"/>
      <c r="K346" s="400"/>
      <c r="L346" s="400"/>
      <c r="M346" s="400"/>
      <c r="N346" s="400"/>
    </row>
    <row r="347">
      <c r="A347" s="400"/>
      <c r="B347" s="400"/>
      <c r="C347" s="400"/>
      <c r="D347" s="464"/>
      <c r="E347" s="464"/>
      <c r="F347" s="400"/>
      <c r="G347" s="400"/>
      <c r="H347" s="400"/>
      <c r="I347" s="400"/>
      <c r="J347" s="400"/>
      <c r="K347" s="400"/>
      <c r="L347" s="400"/>
      <c r="M347" s="400"/>
      <c r="N347" s="400"/>
    </row>
    <row r="348">
      <c r="A348" s="400"/>
      <c r="B348" s="400"/>
      <c r="C348" s="400"/>
      <c r="D348" s="464"/>
      <c r="E348" s="464"/>
      <c r="F348" s="400"/>
      <c r="G348" s="400"/>
      <c r="H348" s="400"/>
      <c r="I348" s="400"/>
      <c r="J348" s="400"/>
      <c r="K348" s="400"/>
      <c r="L348" s="400"/>
      <c r="M348" s="400"/>
      <c r="N348" s="400"/>
    </row>
    <row r="349">
      <c r="A349" s="400"/>
      <c r="B349" s="400"/>
      <c r="C349" s="400"/>
      <c r="D349" s="464"/>
      <c r="E349" s="464"/>
      <c r="F349" s="400"/>
      <c r="G349" s="400"/>
      <c r="H349" s="400"/>
      <c r="I349" s="400"/>
      <c r="J349" s="400"/>
      <c r="K349" s="400"/>
      <c r="L349" s="400"/>
      <c r="M349" s="400"/>
      <c r="N349" s="400"/>
    </row>
    <row r="350">
      <c r="A350" s="400"/>
      <c r="B350" s="400"/>
      <c r="C350" s="400"/>
      <c r="D350" s="464"/>
      <c r="E350" s="464"/>
      <c r="F350" s="400"/>
      <c r="G350" s="400"/>
      <c r="H350" s="400"/>
      <c r="I350" s="400"/>
      <c r="J350" s="400"/>
      <c r="K350" s="400"/>
      <c r="L350" s="400"/>
      <c r="M350" s="400"/>
      <c r="N350" s="400"/>
    </row>
    <row r="351">
      <c r="A351" s="400"/>
      <c r="B351" s="400"/>
      <c r="C351" s="400"/>
      <c r="D351" s="464"/>
      <c r="E351" s="464"/>
      <c r="F351" s="400"/>
      <c r="G351" s="400"/>
      <c r="H351" s="400"/>
      <c r="I351" s="400"/>
      <c r="J351" s="400"/>
      <c r="K351" s="400"/>
      <c r="L351" s="400"/>
      <c r="M351" s="400"/>
      <c r="N351" s="400"/>
    </row>
    <row r="352">
      <c r="A352" s="400"/>
      <c r="B352" s="400"/>
      <c r="C352" s="400"/>
      <c r="D352" s="464"/>
      <c r="E352" s="464"/>
      <c r="F352" s="400"/>
      <c r="G352" s="400"/>
      <c r="H352" s="400"/>
      <c r="I352" s="400"/>
      <c r="J352" s="400"/>
      <c r="K352" s="400"/>
      <c r="L352" s="400"/>
      <c r="M352" s="400"/>
      <c r="N352" s="400"/>
    </row>
    <row r="353">
      <c r="A353" s="400"/>
      <c r="B353" s="400"/>
      <c r="C353" s="400"/>
      <c r="D353" s="464"/>
      <c r="E353" s="464"/>
      <c r="F353" s="400"/>
      <c r="G353" s="400"/>
      <c r="H353" s="400"/>
      <c r="I353" s="400"/>
      <c r="J353" s="400"/>
      <c r="K353" s="400"/>
      <c r="L353" s="400"/>
      <c r="M353" s="400"/>
      <c r="N353" s="400"/>
    </row>
    <row r="354">
      <c r="A354" s="400"/>
      <c r="B354" s="400"/>
      <c r="C354" s="400"/>
      <c r="D354" s="464"/>
      <c r="E354" s="464"/>
      <c r="F354" s="400"/>
      <c r="G354" s="400"/>
      <c r="H354" s="400"/>
      <c r="I354" s="400"/>
      <c r="J354" s="400"/>
      <c r="K354" s="400"/>
      <c r="L354" s="400"/>
      <c r="M354" s="400"/>
      <c r="N354" s="400"/>
    </row>
    <row r="355">
      <c r="A355" s="400"/>
      <c r="B355" s="400"/>
      <c r="C355" s="400"/>
      <c r="D355" s="464"/>
      <c r="E355" s="464"/>
      <c r="F355" s="400"/>
      <c r="G355" s="400"/>
      <c r="H355" s="400"/>
      <c r="I355" s="400"/>
      <c r="J355" s="400"/>
      <c r="K355" s="400"/>
      <c r="L355" s="400"/>
      <c r="M355" s="400"/>
      <c r="N355" s="400"/>
    </row>
    <row r="356">
      <c r="A356" s="400"/>
      <c r="B356" s="400"/>
      <c r="C356" s="400"/>
      <c r="D356" s="464"/>
      <c r="E356" s="464"/>
      <c r="F356" s="400"/>
      <c r="G356" s="400"/>
      <c r="H356" s="400"/>
      <c r="I356" s="400"/>
      <c r="J356" s="400"/>
      <c r="K356" s="400"/>
      <c r="L356" s="400"/>
      <c r="M356" s="400"/>
      <c r="N356" s="400"/>
    </row>
    <row r="357">
      <c r="A357" s="400"/>
      <c r="B357" s="400"/>
      <c r="C357" s="400"/>
      <c r="D357" s="464"/>
      <c r="E357" s="464"/>
      <c r="F357" s="400"/>
      <c r="G357" s="400"/>
      <c r="H357" s="400"/>
      <c r="I357" s="400"/>
      <c r="J357" s="400"/>
      <c r="K357" s="400"/>
      <c r="L357" s="400"/>
      <c r="M357" s="400"/>
      <c r="N357" s="400"/>
    </row>
    <row r="358">
      <c r="A358" s="400"/>
      <c r="B358" s="400"/>
      <c r="C358" s="400"/>
      <c r="D358" s="464"/>
      <c r="E358" s="464"/>
      <c r="F358" s="400"/>
      <c r="G358" s="400"/>
      <c r="H358" s="400"/>
      <c r="I358" s="400"/>
      <c r="J358" s="400"/>
      <c r="K358" s="400"/>
      <c r="L358" s="400"/>
      <c r="M358" s="400"/>
      <c r="N358" s="400"/>
    </row>
    <row r="359">
      <c r="A359" s="400"/>
      <c r="B359" s="400"/>
      <c r="C359" s="400"/>
      <c r="D359" s="464"/>
      <c r="E359" s="464"/>
      <c r="F359" s="400"/>
      <c r="G359" s="400"/>
      <c r="H359" s="400"/>
      <c r="I359" s="400"/>
      <c r="J359" s="400"/>
      <c r="K359" s="400"/>
      <c r="L359" s="400"/>
      <c r="M359" s="400"/>
      <c r="N359" s="400"/>
    </row>
    <row r="360">
      <c r="A360" s="400"/>
      <c r="B360" s="400"/>
      <c r="C360" s="400"/>
      <c r="D360" s="464"/>
      <c r="E360" s="464"/>
      <c r="F360" s="400"/>
      <c r="G360" s="400"/>
      <c r="H360" s="400"/>
      <c r="I360" s="400"/>
      <c r="J360" s="400"/>
      <c r="K360" s="400"/>
      <c r="L360" s="400"/>
      <c r="M360" s="400"/>
      <c r="N360" s="400"/>
    </row>
    <row r="361">
      <c r="A361" s="400"/>
      <c r="B361" s="400"/>
      <c r="C361" s="400"/>
      <c r="D361" s="464"/>
      <c r="E361" s="464"/>
      <c r="F361" s="400"/>
      <c r="G361" s="400"/>
      <c r="H361" s="400"/>
      <c r="I361" s="400"/>
      <c r="J361" s="400"/>
      <c r="K361" s="400"/>
      <c r="L361" s="400"/>
      <c r="M361" s="400"/>
      <c r="N361" s="400"/>
    </row>
    <row r="362">
      <c r="A362" s="400"/>
      <c r="B362" s="400"/>
      <c r="C362" s="400"/>
      <c r="D362" s="464"/>
      <c r="E362" s="464"/>
      <c r="F362" s="400"/>
      <c r="G362" s="400"/>
      <c r="H362" s="400"/>
      <c r="I362" s="400"/>
      <c r="J362" s="400"/>
      <c r="K362" s="400"/>
      <c r="L362" s="400"/>
      <c r="M362" s="400"/>
      <c r="N362" s="400"/>
    </row>
    <row r="363">
      <c r="A363" s="400"/>
      <c r="B363" s="400"/>
      <c r="C363" s="400"/>
      <c r="D363" s="464"/>
      <c r="E363" s="464"/>
      <c r="F363" s="400"/>
      <c r="G363" s="400"/>
      <c r="H363" s="400"/>
      <c r="I363" s="400"/>
      <c r="J363" s="400"/>
      <c r="K363" s="400"/>
      <c r="L363" s="400"/>
      <c r="M363" s="400"/>
      <c r="N363" s="400"/>
    </row>
    <row r="364">
      <c r="A364" s="400"/>
      <c r="B364" s="400"/>
      <c r="C364" s="400"/>
      <c r="D364" s="464"/>
      <c r="E364" s="464"/>
      <c r="F364" s="400"/>
      <c r="G364" s="400"/>
      <c r="H364" s="400"/>
      <c r="I364" s="400"/>
      <c r="J364" s="400"/>
      <c r="K364" s="400"/>
      <c r="L364" s="400"/>
      <c r="M364" s="400"/>
      <c r="N364" s="400"/>
    </row>
    <row r="365">
      <c r="A365" s="400"/>
      <c r="B365" s="400"/>
      <c r="C365" s="400"/>
      <c r="D365" s="464"/>
      <c r="E365" s="464"/>
      <c r="F365" s="400"/>
      <c r="G365" s="400"/>
      <c r="H365" s="400"/>
      <c r="I365" s="400"/>
      <c r="J365" s="400"/>
      <c r="K365" s="400"/>
      <c r="L365" s="400"/>
      <c r="M365" s="400"/>
      <c r="N365" s="400"/>
    </row>
    <row r="366">
      <c r="A366" s="400"/>
      <c r="B366" s="400"/>
      <c r="C366" s="400"/>
      <c r="D366" s="464"/>
      <c r="E366" s="464"/>
      <c r="F366" s="400"/>
      <c r="G366" s="400"/>
      <c r="H366" s="400"/>
      <c r="I366" s="400"/>
      <c r="J366" s="400"/>
      <c r="K366" s="400"/>
      <c r="L366" s="400"/>
      <c r="M366" s="400"/>
      <c r="N366" s="400"/>
    </row>
    <row r="367">
      <c r="A367" s="400"/>
      <c r="B367" s="400"/>
      <c r="C367" s="400"/>
      <c r="D367" s="464"/>
      <c r="E367" s="464"/>
      <c r="F367" s="400"/>
      <c r="G367" s="400"/>
      <c r="H367" s="400"/>
      <c r="I367" s="400"/>
      <c r="J367" s="400"/>
      <c r="K367" s="400"/>
      <c r="L367" s="400"/>
      <c r="M367" s="400"/>
      <c r="N367" s="400"/>
    </row>
    <row r="368">
      <c r="A368" s="400"/>
      <c r="B368" s="400"/>
      <c r="C368" s="400"/>
      <c r="D368" s="464"/>
      <c r="E368" s="464"/>
      <c r="F368" s="400"/>
      <c r="G368" s="400"/>
      <c r="H368" s="400"/>
      <c r="I368" s="400"/>
      <c r="J368" s="400"/>
      <c r="K368" s="400"/>
      <c r="L368" s="400"/>
      <c r="M368" s="400"/>
      <c r="N368" s="400"/>
    </row>
    <row r="369">
      <c r="A369" s="400"/>
      <c r="B369" s="400"/>
      <c r="C369" s="400"/>
      <c r="D369" s="464"/>
      <c r="E369" s="464"/>
      <c r="F369" s="400"/>
      <c r="G369" s="400"/>
      <c r="H369" s="400"/>
      <c r="I369" s="400"/>
      <c r="J369" s="400"/>
      <c r="K369" s="400"/>
      <c r="L369" s="400"/>
      <c r="M369" s="400"/>
      <c r="N369" s="400"/>
    </row>
    <row r="370">
      <c r="A370" s="400"/>
      <c r="B370" s="400"/>
      <c r="C370" s="400"/>
      <c r="D370" s="464"/>
      <c r="E370" s="464"/>
      <c r="F370" s="400"/>
      <c r="G370" s="400"/>
      <c r="H370" s="400"/>
      <c r="I370" s="400"/>
      <c r="J370" s="400"/>
      <c r="K370" s="400"/>
      <c r="L370" s="400"/>
      <c r="M370" s="400"/>
      <c r="N370" s="400"/>
    </row>
    <row r="371">
      <c r="A371" s="400"/>
      <c r="B371" s="400"/>
      <c r="C371" s="400"/>
      <c r="D371" s="464"/>
      <c r="E371" s="464"/>
      <c r="F371" s="400"/>
      <c r="G371" s="400"/>
      <c r="H371" s="400"/>
      <c r="I371" s="400"/>
      <c r="J371" s="400"/>
      <c r="K371" s="400"/>
      <c r="L371" s="400"/>
      <c r="M371" s="400"/>
      <c r="N371" s="400"/>
    </row>
    <row r="372">
      <c r="A372" s="400"/>
      <c r="B372" s="400"/>
      <c r="C372" s="400"/>
      <c r="D372" s="464"/>
      <c r="E372" s="464"/>
      <c r="F372" s="400"/>
      <c r="G372" s="400"/>
      <c r="H372" s="400"/>
      <c r="I372" s="400"/>
      <c r="J372" s="400"/>
      <c r="K372" s="400"/>
      <c r="L372" s="400"/>
      <c r="M372" s="400"/>
      <c r="N372" s="400"/>
    </row>
    <row r="373">
      <c r="A373" s="400"/>
      <c r="B373" s="400"/>
      <c r="C373" s="400"/>
      <c r="D373" s="464"/>
      <c r="E373" s="464"/>
      <c r="F373" s="400"/>
      <c r="G373" s="400"/>
      <c r="H373" s="400"/>
      <c r="I373" s="400"/>
      <c r="J373" s="400"/>
      <c r="K373" s="400"/>
      <c r="L373" s="400"/>
      <c r="M373" s="400"/>
      <c r="N373" s="400"/>
    </row>
    <row r="374">
      <c r="A374" s="400"/>
      <c r="B374" s="400"/>
      <c r="C374" s="400"/>
      <c r="D374" s="464"/>
      <c r="E374" s="464"/>
      <c r="F374" s="400"/>
      <c r="G374" s="400"/>
      <c r="H374" s="400"/>
      <c r="I374" s="400"/>
      <c r="J374" s="400"/>
      <c r="K374" s="400"/>
      <c r="L374" s="400"/>
      <c r="M374" s="400"/>
      <c r="N374" s="400"/>
    </row>
    <row r="375">
      <c r="A375" s="400"/>
      <c r="B375" s="400"/>
      <c r="C375" s="400"/>
      <c r="D375" s="464"/>
      <c r="E375" s="464"/>
      <c r="F375" s="400"/>
      <c r="G375" s="400"/>
      <c r="H375" s="400"/>
      <c r="I375" s="400"/>
      <c r="J375" s="400"/>
      <c r="K375" s="400"/>
      <c r="L375" s="400"/>
      <c r="M375" s="400"/>
      <c r="N375" s="400"/>
    </row>
    <row r="376">
      <c r="A376" s="400"/>
      <c r="B376" s="400"/>
      <c r="C376" s="400"/>
      <c r="D376" s="464"/>
      <c r="E376" s="464"/>
      <c r="F376" s="400"/>
      <c r="G376" s="400"/>
      <c r="H376" s="400"/>
      <c r="I376" s="400"/>
      <c r="J376" s="400"/>
      <c r="K376" s="400"/>
      <c r="L376" s="400"/>
      <c r="M376" s="400"/>
      <c r="N376" s="400"/>
    </row>
    <row r="377">
      <c r="A377" s="400"/>
      <c r="B377" s="400"/>
      <c r="C377" s="400"/>
      <c r="D377" s="464"/>
      <c r="E377" s="464"/>
      <c r="F377" s="400"/>
      <c r="G377" s="400"/>
      <c r="H377" s="400"/>
      <c r="I377" s="400"/>
      <c r="J377" s="400"/>
      <c r="K377" s="400"/>
      <c r="L377" s="400"/>
      <c r="M377" s="400"/>
      <c r="N377" s="400"/>
    </row>
    <row r="378">
      <c r="A378" s="400"/>
      <c r="B378" s="400"/>
      <c r="C378" s="400"/>
      <c r="D378" s="464"/>
      <c r="E378" s="464"/>
      <c r="F378" s="400"/>
      <c r="G378" s="400"/>
      <c r="H378" s="400"/>
      <c r="I378" s="400"/>
      <c r="J378" s="400"/>
      <c r="K378" s="400"/>
      <c r="L378" s="400"/>
      <c r="M378" s="400"/>
      <c r="N378" s="400"/>
    </row>
    <row r="379">
      <c r="A379" s="400"/>
      <c r="B379" s="400"/>
      <c r="C379" s="400"/>
      <c r="D379" s="464"/>
      <c r="E379" s="464"/>
      <c r="F379" s="400"/>
      <c r="G379" s="400"/>
      <c r="H379" s="400"/>
      <c r="I379" s="400"/>
      <c r="J379" s="400"/>
      <c r="K379" s="400"/>
      <c r="L379" s="400"/>
      <c r="M379" s="400"/>
      <c r="N379" s="400"/>
    </row>
    <row r="380">
      <c r="A380" s="400"/>
      <c r="B380" s="400"/>
      <c r="C380" s="400"/>
      <c r="D380" s="464"/>
      <c r="E380" s="464"/>
      <c r="F380" s="400"/>
      <c r="G380" s="400"/>
      <c r="H380" s="400"/>
      <c r="I380" s="400"/>
      <c r="J380" s="400"/>
      <c r="K380" s="400"/>
      <c r="L380" s="400"/>
      <c r="M380" s="400"/>
      <c r="N380" s="400"/>
    </row>
    <row r="381">
      <c r="A381" s="400"/>
      <c r="B381" s="400"/>
      <c r="C381" s="400"/>
      <c r="D381" s="464"/>
      <c r="E381" s="464"/>
      <c r="F381" s="400"/>
      <c r="G381" s="400"/>
      <c r="H381" s="400"/>
      <c r="I381" s="400"/>
      <c r="J381" s="400"/>
      <c r="K381" s="400"/>
      <c r="L381" s="400"/>
      <c r="M381" s="400"/>
      <c r="N381" s="400"/>
    </row>
    <row r="382">
      <c r="A382" s="400"/>
      <c r="B382" s="400"/>
      <c r="C382" s="400"/>
      <c r="D382" s="464"/>
      <c r="E382" s="464"/>
      <c r="F382" s="400"/>
      <c r="G382" s="400"/>
      <c r="H382" s="400"/>
      <c r="I382" s="400"/>
      <c r="J382" s="400"/>
      <c r="K382" s="400"/>
      <c r="L382" s="400"/>
      <c r="M382" s="400"/>
      <c r="N382" s="400"/>
    </row>
    <row r="383">
      <c r="A383" s="400"/>
      <c r="B383" s="400"/>
      <c r="C383" s="400"/>
      <c r="D383" s="464"/>
      <c r="E383" s="464"/>
      <c r="F383" s="400"/>
      <c r="G383" s="400"/>
      <c r="H383" s="400"/>
      <c r="I383" s="400"/>
      <c r="J383" s="400"/>
      <c r="K383" s="400"/>
      <c r="L383" s="400"/>
      <c r="M383" s="400"/>
      <c r="N383" s="400"/>
    </row>
    <row r="384">
      <c r="A384" s="400"/>
      <c r="B384" s="400"/>
      <c r="C384" s="400"/>
      <c r="D384" s="464"/>
      <c r="E384" s="464"/>
      <c r="F384" s="400"/>
      <c r="G384" s="400"/>
      <c r="H384" s="400"/>
      <c r="I384" s="400"/>
      <c r="J384" s="400"/>
      <c r="K384" s="400"/>
      <c r="L384" s="400"/>
      <c r="M384" s="400"/>
      <c r="N384" s="400"/>
    </row>
    <row r="385">
      <c r="A385" s="400"/>
      <c r="B385" s="400"/>
      <c r="C385" s="400"/>
      <c r="D385" s="464"/>
      <c r="E385" s="464"/>
      <c r="F385" s="400"/>
      <c r="G385" s="400"/>
      <c r="H385" s="400"/>
      <c r="I385" s="400"/>
      <c r="J385" s="400"/>
      <c r="K385" s="400"/>
      <c r="L385" s="400"/>
      <c r="M385" s="400"/>
      <c r="N385" s="400"/>
    </row>
    <row r="386">
      <c r="A386" s="400"/>
      <c r="B386" s="400"/>
      <c r="C386" s="400"/>
      <c r="D386" s="464"/>
      <c r="E386" s="464"/>
      <c r="F386" s="400"/>
      <c r="G386" s="400"/>
      <c r="H386" s="400"/>
      <c r="I386" s="400"/>
      <c r="J386" s="400"/>
      <c r="K386" s="400"/>
      <c r="L386" s="400"/>
      <c r="M386" s="400"/>
      <c r="N386" s="400"/>
    </row>
    <row r="387">
      <c r="A387" s="400"/>
      <c r="B387" s="400"/>
      <c r="C387" s="400"/>
      <c r="D387" s="464"/>
      <c r="E387" s="464"/>
      <c r="F387" s="400"/>
      <c r="G387" s="400"/>
      <c r="H387" s="400"/>
      <c r="I387" s="400"/>
      <c r="J387" s="400"/>
      <c r="K387" s="400"/>
      <c r="L387" s="400"/>
      <c r="M387" s="400"/>
      <c r="N387" s="400"/>
    </row>
    <row r="388">
      <c r="A388" s="400"/>
      <c r="B388" s="400"/>
      <c r="C388" s="400"/>
      <c r="D388" s="464"/>
      <c r="E388" s="464"/>
      <c r="F388" s="400"/>
      <c r="G388" s="400"/>
      <c r="H388" s="400"/>
      <c r="I388" s="400"/>
      <c r="J388" s="400"/>
      <c r="K388" s="400"/>
      <c r="L388" s="400"/>
      <c r="M388" s="400"/>
      <c r="N388" s="400"/>
    </row>
    <row r="389">
      <c r="A389" s="400"/>
      <c r="B389" s="400"/>
      <c r="C389" s="400"/>
      <c r="D389" s="464"/>
      <c r="E389" s="464"/>
      <c r="F389" s="400"/>
      <c r="G389" s="400"/>
      <c r="H389" s="400"/>
      <c r="I389" s="400"/>
      <c r="J389" s="400"/>
      <c r="K389" s="400"/>
      <c r="L389" s="400"/>
      <c r="M389" s="400"/>
      <c r="N389" s="400"/>
    </row>
    <row r="390">
      <c r="A390" s="400"/>
      <c r="B390" s="400"/>
      <c r="C390" s="400"/>
      <c r="D390" s="464"/>
      <c r="E390" s="464"/>
      <c r="F390" s="400"/>
      <c r="G390" s="400"/>
      <c r="H390" s="400"/>
      <c r="I390" s="400"/>
      <c r="J390" s="400"/>
      <c r="K390" s="400"/>
      <c r="L390" s="400"/>
      <c r="M390" s="400"/>
      <c r="N390" s="400"/>
    </row>
    <row r="391">
      <c r="A391" s="400"/>
      <c r="B391" s="400"/>
      <c r="C391" s="400"/>
      <c r="D391" s="464"/>
      <c r="E391" s="464"/>
      <c r="F391" s="400"/>
      <c r="G391" s="400"/>
      <c r="H391" s="400"/>
      <c r="I391" s="400"/>
      <c r="J391" s="400"/>
      <c r="K391" s="400"/>
      <c r="L391" s="400"/>
      <c r="M391" s="400"/>
      <c r="N391" s="400"/>
    </row>
    <row r="392">
      <c r="A392" s="400"/>
      <c r="B392" s="400"/>
      <c r="C392" s="400"/>
      <c r="D392" s="464"/>
      <c r="E392" s="464"/>
      <c r="F392" s="400"/>
      <c r="G392" s="400"/>
      <c r="H392" s="400"/>
      <c r="I392" s="400"/>
      <c r="J392" s="400"/>
      <c r="K392" s="400"/>
      <c r="L392" s="400"/>
      <c r="M392" s="400"/>
      <c r="N392" s="400"/>
    </row>
    <row r="393">
      <c r="A393" s="400"/>
      <c r="B393" s="400"/>
      <c r="C393" s="400"/>
      <c r="D393" s="464"/>
      <c r="E393" s="464"/>
      <c r="F393" s="400"/>
      <c r="G393" s="400"/>
      <c r="H393" s="400"/>
      <c r="I393" s="400"/>
      <c r="J393" s="400"/>
      <c r="K393" s="400"/>
      <c r="L393" s="400"/>
      <c r="M393" s="400"/>
      <c r="N393" s="400"/>
    </row>
    <row r="394">
      <c r="A394" s="400"/>
      <c r="B394" s="400"/>
      <c r="C394" s="400"/>
      <c r="D394" s="464"/>
      <c r="E394" s="464"/>
      <c r="F394" s="400"/>
      <c r="G394" s="400"/>
      <c r="H394" s="400"/>
      <c r="I394" s="400"/>
      <c r="J394" s="400"/>
      <c r="K394" s="400"/>
      <c r="L394" s="400"/>
      <c r="M394" s="400"/>
      <c r="N394" s="400"/>
    </row>
    <row r="395">
      <c r="A395" s="400"/>
      <c r="B395" s="400"/>
      <c r="C395" s="400"/>
      <c r="D395" s="464"/>
      <c r="E395" s="464"/>
      <c r="F395" s="400"/>
      <c r="G395" s="400"/>
      <c r="H395" s="400"/>
      <c r="I395" s="400"/>
      <c r="J395" s="400"/>
      <c r="K395" s="400"/>
      <c r="L395" s="400"/>
      <c r="M395" s="400"/>
      <c r="N395" s="400"/>
    </row>
    <row r="396">
      <c r="A396" s="400"/>
      <c r="B396" s="400"/>
      <c r="C396" s="400"/>
      <c r="D396" s="464"/>
      <c r="E396" s="464"/>
      <c r="F396" s="400"/>
      <c r="G396" s="400"/>
      <c r="H396" s="400"/>
      <c r="I396" s="400"/>
      <c r="J396" s="400"/>
      <c r="K396" s="400"/>
      <c r="L396" s="400"/>
      <c r="M396" s="400"/>
      <c r="N396" s="400"/>
    </row>
    <row r="397">
      <c r="A397" s="400"/>
      <c r="B397" s="400"/>
      <c r="C397" s="400"/>
      <c r="D397" s="464"/>
      <c r="E397" s="464"/>
      <c r="F397" s="400"/>
      <c r="G397" s="400"/>
      <c r="H397" s="400"/>
      <c r="I397" s="400"/>
      <c r="J397" s="400"/>
      <c r="K397" s="400"/>
      <c r="L397" s="400"/>
      <c r="M397" s="400"/>
      <c r="N397" s="400"/>
    </row>
    <row r="398">
      <c r="A398" s="400"/>
      <c r="B398" s="400"/>
      <c r="C398" s="400"/>
      <c r="D398" s="464"/>
      <c r="E398" s="464"/>
      <c r="F398" s="400"/>
      <c r="G398" s="400"/>
      <c r="H398" s="400"/>
      <c r="I398" s="400"/>
      <c r="J398" s="400"/>
      <c r="K398" s="400"/>
      <c r="L398" s="400"/>
      <c r="M398" s="400"/>
      <c r="N398" s="400"/>
    </row>
    <row r="399">
      <c r="A399" s="400"/>
      <c r="B399" s="400"/>
      <c r="C399" s="400"/>
      <c r="D399" s="464"/>
      <c r="E399" s="464"/>
      <c r="F399" s="400"/>
      <c r="G399" s="400"/>
      <c r="H399" s="400"/>
      <c r="I399" s="400"/>
      <c r="J399" s="400"/>
      <c r="K399" s="400"/>
      <c r="L399" s="400"/>
      <c r="M399" s="400"/>
      <c r="N399" s="400"/>
    </row>
    <row r="400">
      <c r="A400" s="400"/>
      <c r="B400" s="400"/>
      <c r="C400" s="400"/>
      <c r="D400" s="464"/>
      <c r="E400" s="464"/>
      <c r="F400" s="400"/>
      <c r="G400" s="400"/>
      <c r="H400" s="400"/>
      <c r="I400" s="400"/>
      <c r="J400" s="400"/>
      <c r="K400" s="400"/>
      <c r="L400" s="400"/>
      <c r="M400" s="400"/>
      <c r="N400" s="400"/>
    </row>
    <row r="401">
      <c r="A401" s="400"/>
      <c r="B401" s="400"/>
      <c r="C401" s="400"/>
      <c r="D401" s="464"/>
      <c r="E401" s="464"/>
      <c r="F401" s="400"/>
      <c r="G401" s="400"/>
      <c r="H401" s="400"/>
      <c r="I401" s="400"/>
      <c r="J401" s="400"/>
      <c r="K401" s="400"/>
      <c r="L401" s="400"/>
      <c r="M401" s="400"/>
      <c r="N401" s="400"/>
    </row>
    <row r="402">
      <c r="A402" s="400"/>
      <c r="B402" s="400"/>
      <c r="C402" s="400"/>
      <c r="D402" s="464"/>
      <c r="E402" s="464"/>
      <c r="F402" s="400"/>
      <c r="G402" s="400"/>
      <c r="H402" s="400"/>
      <c r="I402" s="400"/>
      <c r="J402" s="400"/>
      <c r="K402" s="400"/>
      <c r="L402" s="400"/>
      <c r="M402" s="400"/>
      <c r="N402" s="400"/>
    </row>
    <row r="403">
      <c r="A403" s="400"/>
      <c r="B403" s="400"/>
      <c r="C403" s="400"/>
      <c r="D403" s="464"/>
      <c r="E403" s="464"/>
      <c r="F403" s="400"/>
      <c r="G403" s="400"/>
      <c r="H403" s="400"/>
      <c r="I403" s="400"/>
      <c r="J403" s="400"/>
      <c r="K403" s="400"/>
      <c r="L403" s="400"/>
      <c r="M403" s="400"/>
      <c r="N403" s="400"/>
    </row>
    <row r="404">
      <c r="A404" s="400"/>
      <c r="B404" s="400"/>
      <c r="C404" s="400"/>
      <c r="D404" s="464"/>
      <c r="E404" s="464"/>
      <c r="F404" s="400"/>
      <c r="G404" s="400"/>
      <c r="H404" s="400"/>
      <c r="I404" s="400"/>
      <c r="J404" s="400"/>
      <c r="K404" s="400"/>
      <c r="L404" s="400"/>
      <c r="M404" s="400"/>
      <c r="N404" s="400"/>
    </row>
    <row r="405">
      <c r="A405" s="400"/>
      <c r="B405" s="400"/>
      <c r="C405" s="400"/>
      <c r="D405" s="464"/>
      <c r="E405" s="464"/>
      <c r="F405" s="400"/>
      <c r="G405" s="400"/>
      <c r="H405" s="400"/>
      <c r="I405" s="400"/>
      <c r="J405" s="400"/>
      <c r="K405" s="400"/>
      <c r="L405" s="400"/>
      <c r="M405" s="400"/>
      <c r="N405" s="400"/>
    </row>
    <row r="406">
      <c r="A406" s="400"/>
      <c r="B406" s="400"/>
      <c r="C406" s="400"/>
      <c r="D406" s="464"/>
      <c r="E406" s="464"/>
      <c r="F406" s="400"/>
      <c r="G406" s="400"/>
      <c r="H406" s="400"/>
      <c r="I406" s="400"/>
      <c r="J406" s="400"/>
      <c r="K406" s="400"/>
      <c r="L406" s="400"/>
      <c r="M406" s="400"/>
      <c r="N406" s="400"/>
    </row>
    <row r="407">
      <c r="A407" s="400"/>
      <c r="B407" s="400"/>
      <c r="C407" s="400"/>
      <c r="D407" s="464"/>
      <c r="E407" s="464"/>
      <c r="F407" s="400"/>
      <c r="G407" s="400"/>
      <c r="H407" s="400"/>
      <c r="I407" s="400"/>
      <c r="J407" s="400"/>
      <c r="K407" s="400"/>
      <c r="L407" s="400"/>
      <c r="M407" s="400"/>
      <c r="N407" s="400"/>
    </row>
    <row r="408">
      <c r="A408" s="400"/>
      <c r="B408" s="400"/>
      <c r="C408" s="400"/>
      <c r="D408" s="464"/>
      <c r="E408" s="464"/>
      <c r="F408" s="400"/>
      <c r="G408" s="400"/>
      <c r="H408" s="400"/>
      <c r="I408" s="400"/>
      <c r="J408" s="400"/>
      <c r="K408" s="400"/>
      <c r="L408" s="400"/>
      <c r="M408" s="400"/>
      <c r="N408" s="400"/>
    </row>
    <row r="409">
      <c r="A409" s="400"/>
      <c r="B409" s="400"/>
      <c r="C409" s="400"/>
      <c r="D409" s="464"/>
      <c r="E409" s="464"/>
      <c r="F409" s="400"/>
      <c r="G409" s="400"/>
      <c r="H409" s="400"/>
      <c r="I409" s="400"/>
      <c r="J409" s="400"/>
      <c r="K409" s="400"/>
      <c r="L409" s="400"/>
      <c r="M409" s="400"/>
      <c r="N409" s="400"/>
    </row>
    <row r="410">
      <c r="A410" s="400"/>
      <c r="B410" s="400"/>
      <c r="C410" s="400"/>
      <c r="D410" s="464"/>
      <c r="E410" s="464"/>
      <c r="F410" s="400"/>
      <c r="G410" s="400"/>
      <c r="H410" s="400"/>
      <c r="I410" s="400"/>
      <c r="J410" s="400"/>
      <c r="K410" s="400"/>
      <c r="L410" s="400"/>
      <c r="M410" s="400"/>
      <c r="N410" s="400"/>
    </row>
    <row r="411">
      <c r="A411" s="400"/>
      <c r="B411" s="400"/>
      <c r="C411" s="400"/>
      <c r="D411" s="464"/>
      <c r="E411" s="464"/>
      <c r="F411" s="400"/>
      <c r="G411" s="400"/>
      <c r="H411" s="400"/>
      <c r="I411" s="400"/>
      <c r="J411" s="400"/>
      <c r="K411" s="400"/>
      <c r="L411" s="400"/>
      <c r="M411" s="400"/>
      <c r="N411" s="400"/>
    </row>
    <row r="412">
      <c r="A412" s="400"/>
      <c r="B412" s="400"/>
      <c r="C412" s="400"/>
      <c r="D412" s="464"/>
      <c r="E412" s="464"/>
      <c r="F412" s="400"/>
      <c r="G412" s="400"/>
      <c r="H412" s="400"/>
      <c r="I412" s="400"/>
      <c r="J412" s="400"/>
      <c r="K412" s="400"/>
      <c r="L412" s="400"/>
      <c r="M412" s="400"/>
      <c r="N412" s="400"/>
    </row>
    <row r="413">
      <c r="A413" s="400"/>
      <c r="B413" s="400"/>
      <c r="C413" s="400"/>
      <c r="D413" s="464"/>
      <c r="E413" s="464"/>
      <c r="F413" s="400"/>
      <c r="G413" s="400"/>
      <c r="H413" s="400"/>
      <c r="I413" s="400"/>
      <c r="J413" s="400"/>
      <c r="K413" s="400"/>
      <c r="L413" s="400"/>
      <c r="M413" s="400"/>
      <c r="N413" s="400"/>
    </row>
    <row r="414">
      <c r="A414" s="400"/>
      <c r="B414" s="400"/>
      <c r="C414" s="400"/>
      <c r="D414" s="464"/>
      <c r="E414" s="464"/>
      <c r="F414" s="400"/>
      <c r="G414" s="400"/>
      <c r="H414" s="400"/>
      <c r="I414" s="400"/>
      <c r="J414" s="400"/>
      <c r="K414" s="400"/>
      <c r="L414" s="400"/>
      <c r="M414" s="400"/>
      <c r="N414" s="400"/>
    </row>
    <row r="415">
      <c r="A415" s="400"/>
      <c r="B415" s="400"/>
      <c r="C415" s="400"/>
      <c r="D415" s="464"/>
      <c r="E415" s="464"/>
      <c r="F415" s="400"/>
      <c r="G415" s="400"/>
      <c r="H415" s="400"/>
      <c r="I415" s="400"/>
      <c r="J415" s="400"/>
      <c r="K415" s="400"/>
      <c r="L415" s="400"/>
      <c r="M415" s="400"/>
      <c r="N415" s="400"/>
    </row>
    <row r="416">
      <c r="A416" s="400"/>
      <c r="B416" s="400"/>
      <c r="C416" s="400"/>
      <c r="D416" s="464"/>
      <c r="E416" s="464"/>
      <c r="F416" s="400"/>
      <c r="G416" s="400"/>
      <c r="H416" s="400"/>
      <c r="I416" s="400"/>
      <c r="J416" s="400"/>
      <c r="K416" s="400"/>
      <c r="L416" s="400"/>
      <c r="M416" s="400"/>
      <c r="N416" s="400"/>
    </row>
    <row r="417">
      <c r="A417" s="400"/>
      <c r="B417" s="400"/>
      <c r="C417" s="400"/>
      <c r="D417" s="464"/>
      <c r="E417" s="464"/>
      <c r="F417" s="400"/>
      <c r="G417" s="400"/>
      <c r="H417" s="400"/>
      <c r="I417" s="400"/>
      <c r="J417" s="400"/>
      <c r="K417" s="400"/>
      <c r="L417" s="400"/>
      <c r="M417" s="400"/>
      <c r="N417" s="400"/>
    </row>
    <row r="418">
      <c r="A418" s="400"/>
      <c r="B418" s="400"/>
      <c r="C418" s="400"/>
      <c r="D418" s="464"/>
      <c r="E418" s="464"/>
      <c r="F418" s="400"/>
      <c r="G418" s="400"/>
      <c r="H418" s="400"/>
      <c r="I418" s="400"/>
      <c r="J418" s="400"/>
      <c r="K418" s="400"/>
      <c r="L418" s="400"/>
      <c r="M418" s="400"/>
      <c r="N418" s="400"/>
    </row>
    <row r="419">
      <c r="A419" s="400"/>
      <c r="B419" s="400"/>
      <c r="C419" s="400"/>
      <c r="D419" s="464"/>
      <c r="E419" s="464"/>
      <c r="F419" s="400"/>
      <c r="G419" s="400"/>
      <c r="H419" s="400"/>
      <c r="I419" s="400"/>
      <c r="J419" s="400"/>
      <c r="K419" s="400"/>
      <c r="L419" s="400"/>
      <c r="M419" s="400"/>
      <c r="N419" s="400"/>
    </row>
    <row r="420">
      <c r="A420" s="400"/>
      <c r="B420" s="400"/>
      <c r="C420" s="400"/>
      <c r="D420" s="464"/>
      <c r="E420" s="464"/>
      <c r="F420" s="400"/>
      <c r="G420" s="400"/>
      <c r="H420" s="400"/>
      <c r="I420" s="400"/>
      <c r="J420" s="400"/>
      <c r="K420" s="400"/>
      <c r="L420" s="400"/>
      <c r="M420" s="400"/>
      <c r="N420" s="400"/>
    </row>
    <row r="421">
      <c r="A421" s="400"/>
      <c r="B421" s="400"/>
      <c r="C421" s="400"/>
      <c r="D421" s="464"/>
      <c r="E421" s="464"/>
      <c r="F421" s="400"/>
      <c r="G421" s="400"/>
      <c r="H421" s="400"/>
      <c r="I421" s="400"/>
      <c r="J421" s="400"/>
      <c r="K421" s="400"/>
      <c r="L421" s="400"/>
      <c r="M421" s="400"/>
      <c r="N421" s="400"/>
    </row>
    <row r="422">
      <c r="A422" s="400"/>
      <c r="B422" s="400"/>
      <c r="C422" s="400"/>
      <c r="D422" s="464"/>
      <c r="E422" s="464"/>
      <c r="F422" s="400"/>
      <c r="G422" s="400"/>
      <c r="H422" s="400"/>
      <c r="I422" s="400"/>
      <c r="J422" s="400"/>
      <c r="K422" s="400"/>
      <c r="L422" s="400"/>
      <c r="M422" s="400"/>
      <c r="N422" s="400"/>
    </row>
    <row r="423">
      <c r="A423" s="400"/>
      <c r="B423" s="400"/>
      <c r="C423" s="400"/>
      <c r="D423" s="464"/>
      <c r="E423" s="464"/>
      <c r="F423" s="400"/>
      <c r="G423" s="400"/>
      <c r="H423" s="400"/>
      <c r="I423" s="400"/>
      <c r="J423" s="400"/>
      <c r="K423" s="400"/>
      <c r="L423" s="400"/>
      <c r="M423" s="400"/>
      <c r="N423" s="400"/>
    </row>
    <row r="424">
      <c r="A424" s="400"/>
      <c r="B424" s="400"/>
      <c r="C424" s="400"/>
      <c r="D424" s="464"/>
      <c r="E424" s="464"/>
      <c r="F424" s="400"/>
      <c r="G424" s="400"/>
      <c r="H424" s="400"/>
      <c r="I424" s="400"/>
      <c r="J424" s="400"/>
      <c r="K424" s="400"/>
      <c r="L424" s="400"/>
      <c r="M424" s="400"/>
      <c r="N424" s="400"/>
    </row>
    <row r="425">
      <c r="A425" s="400"/>
      <c r="B425" s="400"/>
      <c r="C425" s="400"/>
      <c r="D425" s="464"/>
      <c r="E425" s="464"/>
      <c r="F425" s="400"/>
      <c r="G425" s="400"/>
      <c r="H425" s="400"/>
      <c r="I425" s="400"/>
      <c r="J425" s="400"/>
      <c r="K425" s="400"/>
      <c r="L425" s="400"/>
      <c r="M425" s="400"/>
      <c r="N425" s="400"/>
    </row>
    <row r="426">
      <c r="A426" s="400"/>
      <c r="B426" s="400"/>
      <c r="C426" s="400"/>
      <c r="D426" s="464"/>
      <c r="E426" s="464"/>
      <c r="F426" s="400"/>
      <c r="G426" s="400"/>
      <c r="H426" s="400"/>
      <c r="I426" s="400"/>
      <c r="J426" s="400"/>
      <c r="K426" s="400"/>
      <c r="L426" s="400"/>
      <c r="M426" s="400"/>
      <c r="N426" s="400"/>
    </row>
    <row r="427">
      <c r="A427" s="400"/>
      <c r="B427" s="400"/>
      <c r="C427" s="400"/>
      <c r="D427" s="464"/>
      <c r="E427" s="464"/>
      <c r="F427" s="400"/>
      <c r="G427" s="400"/>
      <c r="H427" s="400"/>
      <c r="I427" s="400"/>
      <c r="J427" s="400"/>
      <c r="K427" s="400"/>
      <c r="L427" s="400"/>
      <c r="M427" s="400"/>
      <c r="N427" s="400"/>
    </row>
    <row r="428">
      <c r="A428" s="400"/>
      <c r="B428" s="400"/>
      <c r="C428" s="400"/>
      <c r="D428" s="464"/>
      <c r="E428" s="464"/>
      <c r="F428" s="400"/>
      <c r="G428" s="400"/>
      <c r="H428" s="400"/>
      <c r="I428" s="400"/>
      <c r="J428" s="400"/>
      <c r="K428" s="400"/>
      <c r="L428" s="400"/>
      <c r="M428" s="400"/>
      <c r="N428" s="400"/>
    </row>
    <row r="429">
      <c r="A429" s="400"/>
      <c r="B429" s="400"/>
      <c r="C429" s="400"/>
      <c r="D429" s="464"/>
      <c r="E429" s="464"/>
      <c r="F429" s="400"/>
      <c r="G429" s="400"/>
      <c r="H429" s="400"/>
      <c r="I429" s="400"/>
      <c r="J429" s="400"/>
      <c r="K429" s="400"/>
      <c r="L429" s="400"/>
      <c r="M429" s="400"/>
      <c r="N429" s="400"/>
    </row>
    <row r="430">
      <c r="A430" s="400"/>
      <c r="B430" s="400"/>
      <c r="C430" s="400"/>
      <c r="D430" s="464"/>
      <c r="E430" s="464"/>
      <c r="F430" s="400"/>
      <c r="G430" s="400"/>
      <c r="H430" s="400"/>
      <c r="I430" s="400"/>
      <c r="J430" s="400"/>
      <c r="K430" s="400"/>
      <c r="L430" s="400"/>
      <c r="M430" s="400"/>
      <c r="N430" s="400"/>
    </row>
    <row r="431">
      <c r="A431" s="400"/>
      <c r="B431" s="400"/>
      <c r="C431" s="400"/>
      <c r="D431" s="464"/>
      <c r="E431" s="464"/>
      <c r="F431" s="400"/>
      <c r="G431" s="400"/>
      <c r="H431" s="400"/>
      <c r="I431" s="400"/>
      <c r="J431" s="400"/>
      <c r="K431" s="400"/>
      <c r="L431" s="400"/>
      <c r="M431" s="400"/>
      <c r="N431" s="400"/>
    </row>
    <row r="432">
      <c r="A432" s="400"/>
      <c r="B432" s="400"/>
      <c r="C432" s="400"/>
      <c r="D432" s="464"/>
      <c r="E432" s="464"/>
      <c r="F432" s="400"/>
      <c r="G432" s="400"/>
      <c r="H432" s="400"/>
      <c r="I432" s="400"/>
      <c r="J432" s="400"/>
      <c r="K432" s="400"/>
      <c r="L432" s="400"/>
      <c r="M432" s="400"/>
      <c r="N432" s="400"/>
    </row>
    <row r="433">
      <c r="A433" s="400"/>
      <c r="B433" s="400"/>
      <c r="C433" s="400"/>
      <c r="D433" s="464"/>
      <c r="E433" s="464"/>
      <c r="F433" s="400"/>
      <c r="G433" s="400"/>
      <c r="H433" s="400"/>
      <c r="I433" s="400"/>
      <c r="J433" s="400"/>
      <c r="K433" s="400"/>
      <c r="L433" s="400"/>
      <c r="M433" s="400"/>
      <c r="N433" s="400"/>
    </row>
    <row r="434">
      <c r="A434" s="400"/>
      <c r="B434" s="400"/>
      <c r="C434" s="400"/>
      <c r="D434" s="464"/>
      <c r="E434" s="464"/>
      <c r="F434" s="400"/>
      <c r="G434" s="400"/>
      <c r="H434" s="400"/>
      <c r="I434" s="400"/>
      <c r="J434" s="400"/>
      <c r="K434" s="400"/>
      <c r="L434" s="400"/>
      <c r="M434" s="400"/>
      <c r="N434" s="400"/>
    </row>
    <row r="435">
      <c r="A435" s="400"/>
      <c r="B435" s="400"/>
      <c r="C435" s="400"/>
      <c r="D435" s="464"/>
      <c r="E435" s="464"/>
      <c r="F435" s="400"/>
      <c r="G435" s="400"/>
      <c r="H435" s="400"/>
      <c r="I435" s="400"/>
      <c r="J435" s="400"/>
      <c r="K435" s="400"/>
      <c r="L435" s="400"/>
      <c r="M435" s="400"/>
      <c r="N435" s="400"/>
    </row>
    <row r="436">
      <c r="A436" s="400"/>
      <c r="B436" s="400"/>
      <c r="C436" s="400"/>
      <c r="D436" s="464"/>
      <c r="E436" s="464"/>
      <c r="F436" s="400"/>
      <c r="G436" s="400"/>
      <c r="H436" s="400"/>
      <c r="I436" s="400"/>
      <c r="J436" s="400"/>
      <c r="K436" s="400"/>
      <c r="L436" s="400"/>
      <c r="M436" s="400"/>
      <c r="N436" s="400"/>
    </row>
    <row r="437">
      <c r="A437" s="400"/>
      <c r="B437" s="400"/>
      <c r="C437" s="400"/>
      <c r="D437" s="464"/>
      <c r="E437" s="464"/>
      <c r="F437" s="400"/>
      <c r="G437" s="400"/>
      <c r="H437" s="400"/>
      <c r="I437" s="400"/>
      <c r="J437" s="400"/>
      <c r="K437" s="400"/>
      <c r="L437" s="400"/>
      <c r="M437" s="400"/>
      <c r="N437" s="400"/>
    </row>
    <row r="438">
      <c r="A438" s="400"/>
      <c r="B438" s="400"/>
      <c r="C438" s="400"/>
      <c r="D438" s="464"/>
      <c r="E438" s="464"/>
      <c r="F438" s="400"/>
      <c r="G438" s="400"/>
      <c r="H438" s="400"/>
      <c r="I438" s="400"/>
      <c r="J438" s="400"/>
      <c r="K438" s="400"/>
      <c r="L438" s="400"/>
      <c r="M438" s="400"/>
      <c r="N438" s="400"/>
    </row>
    <row r="439">
      <c r="A439" s="400"/>
      <c r="B439" s="400"/>
      <c r="C439" s="400"/>
      <c r="D439" s="464"/>
      <c r="E439" s="464"/>
      <c r="F439" s="400"/>
      <c r="G439" s="400"/>
      <c r="H439" s="400"/>
      <c r="I439" s="400"/>
      <c r="J439" s="400"/>
      <c r="K439" s="400"/>
      <c r="L439" s="400"/>
      <c r="M439" s="400"/>
      <c r="N439" s="400"/>
    </row>
    <row r="440">
      <c r="A440" s="400"/>
      <c r="B440" s="400"/>
      <c r="C440" s="400"/>
      <c r="D440" s="464"/>
      <c r="E440" s="464"/>
      <c r="F440" s="400"/>
      <c r="G440" s="400"/>
      <c r="H440" s="400"/>
      <c r="I440" s="400"/>
      <c r="J440" s="400"/>
      <c r="K440" s="400"/>
      <c r="L440" s="400"/>
      <c r="M440" s="400"/>
      <c r="N440" s="400"/>
    </row>
    <row r="441">
      <c r="A441" s="400"/>
      <c r="B441" s="400"/>
      <c r="C441" s="400"/>
      <c r="D441" s="464"/>
      <c r="E441" s="464"/>
      <c r="F441" s="400"/>
      <c r="G441" s="400"/>
      <c r="H441" s="400"/>
      <c r="I441" s="400"/>
      <c r="J441" s="400"/>
      <c r="K441" s="400"/>
      <c r="L441" s="400"/>
      <c r="M441" s="400"/>
      <c r="N441" s="400"/>
    </row>
    <row r="442">
      <c r="A442" s="400"/>
      <c r="B442" s="400"/>
      <c r="C442" s="400"/>
      <c r="D442" s="464"/>
      <c r="E442" s="464"/>
      <c r="F442" s="400"/>
      <c r="G442" s="400"/>
      <c r="H442" s="400"/>
      <c r="I442" s="400"/>
      <c r="J442" s="400"/>
      <c r="K442" s="400"/>
      <c r="L442" s="400"/>
      <c r="M442" s="400"/>
      <c r="N442" s="400"/>
    </row>
    <row r="443">
      <c r="A443" s="400"/>
      <c r="B443" s="400"/>
      <c r="C443" s="400"/>
      <c r="D443" s="464"/>
      <c r="E443" s="464"/>
      <c r="F443" s="400"/>
      <c r="G443" s="400"/>
      <c r="H443" s="400"/>
      <c r="I443" s="400"/>
      <c r="J443" s="400"/>
      <c r="K443" s="400"/>
      <c r="L443" s="400"/>
      <c r="M443" s="400"/>
      <c r="N443" s="400"/>
    </row>
    <row r="444">
      <c r="A444" s="400"/>
      <c r="B444" s="400"/>
      <c r="C444" s="400"/>
      <c r="D444" s="464"/>
      <c r="E444" s="464"/>
      <c r="F444" s="400"/>
      <c r="G444" s="400"/>
      <c r="H444" s="400"/>
      <c r="I444" s="400"/>
      <c r="J444" s="400"/>
      <c r="K444" s="400"/>
      <c r="L444" s="400"/>
      <c r="M444" s="400"/>
      <c r="N444" s="400"/>
    </row>
    <row r="445">
      <c r="A445" s="400"/>
      <c r="B445" s="400"/>
      <c r="C445" s="400"/>
      <c r="D445" s="464"/>
      <c r="E445" s="464"/>
      <c r="F445" s="400"/>
      <c r="G445" s="400"/>
      <c r="H445" s="400"/>
      <c r="I445" s="400"/>
      <c r="J445" s="400"/>
      <c r="K445" s="400"/>
      <c r="L445" s="400"/>
      <c r="M445" s="400"/>
      <c r="N445" s="400"/>
    </row>
    <row r="446">
      <c r="A446" s="400"/>
      <c r="B446" s="400"/>
      <c r="C446" s="400"/>
      <c r="D446" s="464"/>
      <c r="E446" s="464"/>
      <c r="F446" s="400"/>
      <c r="G446" s="400"/>
      <c r="H446" s="400"/>
      <c r="I446" s="400"/>
      <c r="J446" s="400"/>
      <c r="K446" s="400"/>
      <c r="L446" s="400"/>
      <c r="M446" s="400"/>
      <c r="N446" s="400"/>
    </row>
    <row r="447">
      <c r="A447" s="400"/>
      <c r="B447" s="400"/>
      <c r="C447" s="400"/>
      <c r="D447" s="464"/>
      <c r="E447" s="464"/>
      <c r="F447" s="400"/>
      <c r="G447" s="400"/>
      <c r="H447" s="400"/>
      <c r="I447" s="400"/>
      <c r="J447" s="400"/>
      <c r="K447" s="400"/>
      <c r="L447" s="400"/>
      <c r="M447" s="400"/>
      <c r="N447" s="400"/>
    </row>
    <row r="448">
      <c r="A448" s="400"/>
      <c r="B448" s="400"/>
      <c r="C448" s="400"/>
      <c r="D448" s="464"/>
      <c r="E448" s="464"/>
      <c r="F448" s="400"/>
      <c r="G448" s="400"/>
      <c r="H448" s="400"/>
      <c r="I448" s="400"/>
      <c r="J448" s="400"/>
      <c r="K448" s="400"/>
      <c r="L448" s="400"/>
      <c r="M448" s="400"/>
      <c r="N448" s="400"/>
    </row>
    <row r="449">
      <c r="A449" s="400"/>
      <c r="B449" s="400"/>
      <c r="C449" s="400"/>
      <c r="D449" s="464"/>
      <c r="E449" s="464"/>
      <c r="F449" s="400"/>
      <c r="G449" s="400"/>
      <c r="H449" s="400"/>
      <c r="I449" s="400"/>
      <c r="J449" s="400"/>
      <c r="K449" s="400"/>
      <c r="L449" s="400"/>
      <c r="M449" s="400"/>
      <c r="N449" s="400"/>
    </row>
    <row r="450">
      <c r="A450" s="400"/>
      <c r="B450" s="400"/>
      <c r="C450" s="400"/>
      <c r="D450" s="464"/>
      <c r="E450" s="464"/>
      <c r="F450" s="400"/>
      <c r="G450" s="400"/>
      <c r="H450" s="400"/>
      <c r="I450" s="400"/>
      <c r="J450" s="400"/>
      <c r="K450" s="400"/>
      <c r="L450" s="400"/>
      <c r="M450" s="400"/>
      <c r="N450" s="400"/>
    </row>
    <row r="451">
      <c r="A451" s="400"/>
      <c r="B451" s="400"/>
      <c r="C451" s="400"/>
      <c r="D451" s="464"/>
      <c r="E451" s="464"/>
      <c r="F451" s="400"/>
      <c r="G451" s="400"/>
      <c r="H451" s="400"/>
      <c r="I451" s="400"/>
      <c r="J451" s="400"/>
      <c r="K451" s="400"/>
      <c r="L451" s="400"/>
      <c r="M451" s="400"/>
      <c r="N451" s="400"/>
    </row>
    <row r="452">
      <c r="A452" s="400"/>
      <c r="B452" s="400"/>
      <c r="C452" s="400"/>
      <c r="D452" s="464"/>
      <c r="E452" s="464"/>
      <c r="F452" s="400"/>
      <c r="G452" s="400"/>
      <c r="H452" s="400"/>
      <c r="I452" s="400"/>
      <c r="J452" s="400"/>
      <c r="K452" s="400"/>
      <c r="L452" s="400"/>
      <c r="M452" s="400"/>
      <c r="N452" s="400"/>
    </row>
    <row r="453">
      <c r="A453" s="400"/>
      <c r="B453" s="400"/>
      <c r="C453" s="400"/>
      <c r="D453" s="464"/>
      <c r="E453" s="464"/>
      <c r="F453" s="400"/>
      <c r="G453" s="400"/>
      <c r="H453" s="400"/>
      <c r="I453" s="400"/>
      <c r="J453" s="400"/>
      <c r="K453" s="400"/>
      <c r="L453" s="400"/>
      <c r="M453" s="400"/>
      <c r="N453" s="400"/>
    </row>
    <row r="454">
      <c r="A454" s="400"/>
      <c r="B454" s="400"/>
      <c r="C454" s="400"/>
      <c r="D454" s="464"/>
      <c r="E454" s="464"/>
      <c r="F454" s="400"/>
      <c r="G454" s="400"/>
      <c r="H454" s="400"/>
      <c r="I454" s="400"/>
      <c r="J454" s="400"/>
      <c r="K454" s="400"/>
      <c r="L454" s="400"/>
      <c r="M454" s="400"/>
      <c r="N454" s="400"/>
    </row>
    <row r="455">
      <c r="A455" s="400"/>
      <c r="B455" s="400"/>
      <c r="C455" s="400"/>
      <c r="D455" s="464"/>
      <c r="E455" s="464"/>
      <c r="F455" s="400"/>
      <c r="G455" s="400"/>
      <c r="H455" s="400"/>
      <c r="I455" s="400"/>
      <c r="J455" s="400"/>
      <c r="K455" s="400"/>
      <c r="L455" s="400"/>
      <c r="M455" s="400"/>
      <c r="N455" s="400"/>
    </row>
    <row r="456">
      <c r="A456" s="400"/>
      <c r="B456" s="400"/>
      <c r="C456" s="400"/>
      <c r="D456" s="464"/>
      <c r="E456" s="464"/>
      <c r="F456" s="400"/>
      <c r="G456" s="400"/>
      <c r="H456" s="400"/>
      <c r="I456" s="400"/>
      <c r="J456" s="400"/>
      <c r="K456" s="400"/>
      <c r="L456" s="400"/>
      <c r="M456" s="400"/>
      <c r="N456" s="400"/>
    </row>
    <row r="457">
      <c r="A457" s="400"/>
      <c r="B457" s="400"/>
      <c r="C457" s="400"/>
      <c r="D457" s="464"/>
      <c r="E457" s="464"/>
      <c r="F457" s="400"/>
      <c r="G457" s="400"/>
      <c r="H457" s="400"/>
      <c r="I457" s="400"/>
      <c r="J457" s="400"/>
      <c r="K457" s="400"/>
      <c r="L457" s="400"/>
      <c r="M457" s="400"/>
      <c r="N457" s="400"/>
    </row>
    <row r="458">
      <c r="A458" s="400"/>
      <c r="B458" s="400"/>
      <c r="C458" s="400"/>
      <c r="D458" s="464"/>
      <c r="E458" s="464"/>
      <c r="F458" s="400"/>
      <c r="G458" s="400"/>
      <c r="H458" s="400"/>
      <c r="I458" s="400"/>
      <c r="J458" s="400"/>
      <c r="K458" s="400"/>
      <c r="L458" s="400"/>
      <c r="M458" s="400"/>
      <c r="N458" s="400"/>
    </row>
    <row r="459">
      <c r="A459" s="400"/>
      <c r="B459" s="400"/>
      <c r="C459" s="400"/>
      <c r="D459" s="464"/>
      <c r="E459" s="464"/>
      <c r="F459" s="400"/>
      <c r="G459" s="400"/>
      <c r="H459" s="400"/>
      <c r="I459" s="400"/>
      <c r="J459" s="400"/>
      <c r="K459" s="400"/>
      <c r="L459" s="400"/>
      <c r="M459" s="400"/>
      <c r="N459" s="400"/>
    </row>
    <row r="460">
      <c r="A460" s="400"/>
      <c r="B460" s="400"/>
      <c r="C460" s="400"/>
      <c r="D460" s="464"/>
      <c r="E460" s="464"/>
      <c r="F460" s="400"/>
      <c r="G460" s="400"/>
      <c r="H460" s="400"/>
      <c r="I460" s="400"/>
      <c r="J460" s="400"/>
      <c r="K460" s="400"/>
      <c r="L460" s="400"/>
      <c r="M460" s="400"/>
      <c r="N460" s="400"/>
    </row>
    <row r="461">
      <c r="A461" s="400"/>
      <c r="B461" s="400"/>
      <c r="C461" s="400"/>
      <c r="D461" s="464"/>
      <c r="E461" s="464"/>
      <c r="F461" s="400"/>
      <c r="G461" s="400"/>
      <c r="H461" s="400"/>
      <c r="I461" s="400"/>
      <c r="J461" s="400"/>
      <c r="K461" s="400"/>
      <c r="L461" s="400"/>
      <c r="M461" s="400"/>
      <c r="N461" s="400"/>
    </row>
    <row r="462">
      <c r="A462" s="400"/>
      <c r="B462" s="400"/>
      <c r="C462" s="400"/>
      <c r="D462" s="464"/>
      <c r="E462" s="464"/>
      <c r="F462" s="400"/>
      <c r="G462" s="400"/>
      <c r="H462" s="400"/>
      <c r="I462" s="400"/>
      <c r="J462" s="400"/>
      <c r="K462" s="400"/>
      <c r="L462" s="400"/>
      <c r="M462" s="400"/>
      <c r="N462" s="400"/>
    </row>
    <row r="463">
      <c r="A463" s="400"/>
      <c r="B463" s="400"/>
      <c r="C463" s="400"/>
      <c r="D463" s="464"/>
      <c r="E463" s="464"/>
      <c r="F463" s="400"/>
      <c r="G463" s="400"/>
      <c r="H463" s="400"/>
      <c r="I463" s="400"/>
      <c r="J463" s="400"/>
      <c r="K463" s="400"/>
      <c r="L463" s="400"/>
      <c r="M463" s="400"/>
      <c r="N463" s="400"/>
    </row>
    <row r="464">
      <c r="A464" s="400"/>
      <c r="B464" s="400"/>
      <c r="C464" s="400"/>
      <c r="D464" s="464"/>
      <c r="E464" s="464"/>
      <c r="F464" s="400"/>
      <c r="G464" s="400"/>
      <c r="H464" s="400"/>
      <c r="I464" s="400"/>
      <c r="J464" s="400"/>
      <c r="K464" s="400"/>
      <c r="L464" s="400"/>
      <c r="M464" s="400"/>
      <c r="N464" s="400"/>
    </row>
    <row r="465">
      <c r="A465" s="400"/>
      <c r="B465" s="400"/>
      <c r="C465" s="400"/>
      <c r="D465" s="464"/>
      <c r="E465" s="464"/>
      <c r="F465" s="400"/>
      <c r="G465" s="400"/>
      <c r="H465" s="400"/>
      <c r="I465" s="400"/>
      <c r="J465" s="400"/>
      <c r="K465" s="400"/>
      <c r="L465" s="400"/>
      <c r="M465" s="400"/>
      <c r="N465" s="400"/>
    </row>
    <row r="466">
      <c r="A466" s="400"/>
      <c r="B466" s="400"/>
      <c r="C466" s="400"/>
      <c r="D466" s="464"/>
      <c r="E466" s="464"/>
      <c r="F466" s="400"/>
      <c r="G466" s="400"/>
      <c r="H466" s="400"/>
      <c r="I466" s="400"/>
      <c r="J466" s="400"/>
      <c r="K466" s="400"/>
      <c r="L466" s="400"/>
      <c r="M466" s="400"/>
      <c r="N466" s="400"/>
    </row>
    <row r="467">
      <c r="A467" s="400"/>
      <c r="B467" s="400"/>
      <c r="C467" s="400"/>
      <c r="D467" s="464"/>
      <c r="E467" s="464"/>
      <c r="F467" s="400"/>
      <c r="G467" s="400"/>
      <c r="H467" s="400"/>
      <c r="I467" s="400"/>
      <c r="J467" s="400"/>
      <c r="K467" s="400"/>
      <c r="L467" s="400"/>
      <c r="M467" s="400"/>
      <c r="N467" s="400"/>
    </row>
    <row r="468">
      <c r="A468" s="400"/>
      <c r="B468" s="400"/>
      <c r="C468" s="400"/>
      <c r="D468" s="464"/>
      <c r="E468" s="464"/>
      <c r="F468" s="400"/>
      <c r="G468" s="400"/>
      <c r="H468" s="400"/>
      <c r="I468" s="400"/>
      <c r="J468" s="400"/>
      <c r="K468" s="400"/>
      <c r="L468" s="400"/>
      <c r="M468" s="400"/>
      <c r="N468" s="400"/>
    </row>
    <row r="469">
      <c r="A469" s="400"/>
      <c r="B469" s="400"/>
      <c r="C469" s="400"/>
      <c r="D469" s="464"/>
      <c r="E469" s="464"/>
      <c r="F469" s="400"/>
      <c r="G469" s="400"/>
      <c r="H469" s="400"/>
      <c r="I469" s="400"/>
      <c r="J469" s="400"/>
      <c r="K469" s="400"/>
      <c r="L469" s="400"/>
      <c r="M469" s="400"/>
      <c r="N469" s="400"/>
    </row>
    <row r="470">
      <c r="A470" s="400"/>
      <c r="B470" s="400"/>
      <c r="C470" s="400"/>
      <c r="D470" s="464"/>
      <c r="E470" s="464"/>
      <c r="F470" s="400"/>
      <c r="G470" s="400"/>
      <c r="H470" s="400"/>
      <c r="I470" s="400"/>
      <c r="J470" s="400"/>
      <c r="K470" s="400"/>
      <c r="L470" s="400"/>
      <c r="M470" s="400"/>
      <c r="N470" s="400"/>
    </row>
    <row r="471">
      <c r="A471" s="400"/>
      <c r="B471" s="400"/>
      <c r="C471" s="400"/>
      <c r="D471" s="464"/>
      <c r="E471" s="464"/>
      <c r="F471" s="400"/>
      <c r="G471" s="400"/>
      <c r="H471" s="400"/>
      <c r="I471" s="400"/>
      <c r="J471" s="400"/>
      <c r="K471" s="400"/>
      <c r="L471" s="400"/>
      <c r="M471" s="400"/>
      <c r="N471" s="400"/>
    </row>
    <row r="472">
      <c r="A472" s="400"/>
      <c r="B472" s="400"/>
      <c r="C472" s="400"/>
      <c r="D472" s="464"/>
      <c r="E472" s="464"/>
      <c r="F472" s="400"/>
      <c r="G472" s="400"/>
      <c r="H472" s="400"/>
      <c r="I472" s="400"/>
      <c r="J472" s="400"/>
      <c r="K472" s="400"/>
      <c r="L472" s="400"/>
      <c r="M472" s="400"/>
      <c r="N472" s="400"/>
    </row>
    <row r="473">
      <c r="A473" s="400"/>
      <c r="B473" s="400"/>
      <c r="C473" s="400"/>
      <c r="D473" s="464"/>
      <c r="E473" s="464"/>
      <c r="F473" s="400"/>
      <c r="G473" s="400"/>
      <c r="H473" s="400"/>
      <c r="I473" s="400"/>
      <c r="J473" s="400"/>
      <c r="K473" s="400"/>
      <c r="L473" s="400"/>
      <c r="M473" s="400"/>
      <c r="N473" s="400"/>
    </row>
    <row r="474">
      <c r="A474" s="400"/>
      <c r="B474" s="400"/>
      <c r="C474" s="400"/>
      <c r="D474" s="464"/>
      <c r="E474" s="464"/>
      <c r="F474" s="400"/>
      <c r="G474" s="400"/>
      <c r="H474" s="400"/>
      <c r="I474" s="400"/>
      <c r="J474" s="400"/>
      <c r="K474" s="400"/>
      <c r="L474" s="400"/>
      <c r="M474" s="400"/>
      <c r="N474" s="400"/>
    </row>
    <row r="475">
      <c r="A475" s="400"/>
      <c r="B475" s="400"/>
      <c r="C475" s="400"/>
      <c r="D475" s="464"/>
      <c r="E475" s="464"/>
      <c r="F475" s="400"/>
      <c r="G475" s="400"/>
      <c r="H475" s="400"/>
      <c r="I475" s="400"/>
      <c r="J475" s="400"/>
      <c r="K475" s="400"/>
      <c r="L475" s="400"/>
      <c r="M475" s="400"/>
      <c r="N475" s="400"/>
    </row>
    <row r="476">
      <c r="A476" s="400"/>
      <c r="B476" s="400"/>
      <c r="C476" s="400"/>
      <c r="D476" s="464"/>
      <c r="E476" s="464"/>
      <c r="F476" s="400"/>
      <c r="G476" s="400"/>
      <c r="H476" s="400"/>
      <c r="I476" s="400"/>
      <c r="J476" s="400"/>
      <c r="K476" s="400"/>
      <c r="L476" s="400"/>
      <c r="M476" s="400"/>
      <c r="N476" s="400"/>
    </row>
    <row r="477">
      <c r="A477" s="400"/>
      <c r="B477" s="400"/>
      <c r="C477" s="400"/>
      <c r="D477" s="464"/>
      <c r="E477" s="464"/>
      <c r="F477" s="400"/>
      <c r="G477" s="400"/>
      <c r="H477" s="400"/>
      <c r="I477" s="400"/>
      <c r="J477" s="400"/>
      <c r="K477" s="400"/>
      <c r="L477" s="400"/>
      <c r="M477" s="400"/>
      <c r="N477" s="400"/>
    </row>
    <row r="478">
      <c r="A478" s="400"/>
      <c r="B478" s="400"/>
      <c r="C478" s="400"/>
      <c r="D478" s="464"/>
      <c r="E478" s="464"/>
      <c r="F478" s="400"/>
      <c r="G478" s="400"/>
      <c r="H478" s="400"/>
      <c r="I478" s="400"/>
      <c r="J478" s="400"/>
      <c r="K478" s="400"/>
      <c r="L478" s="400"/>
      <c r="M478" s="400"/>
      <c r="N478" s="400"/>
    </row>
    <row r="479">
      <c r="A479" s="400"/>
      <c r="B479" s="400"/>
      <c r="C479" s="400"/>
      <c r="D479" s="464"/>
      <c r="E479" s="464"/>
      <c r="F479" s="400"/>
      <c r="G479" s="400"/>
      <c r="H479" s="400"/>
      <c r="I479" s="400"/>
      <c r="J479" s="400"/>
      <c r="K479" s="400"/>
      <c r="L479" s="400"/>
      <c r="M479" s="400"/>
      <c r="N479" s="400"/>
    </row>
    <row r="480">
      <c r="A480" s="400"/>
      <c r="B480" s="400"/>
      <c r="C480" s="400"/>
      <c r="D480" s="464"/>
      <c r="E480" s="464"/>
      <c r="F480" s="400"/>
      <c r="G480" s="400"/>
      <c r="H480" s="400"/>
      <c r="I480" s="400"/>
      <c r="J480" s="400"/>
      <c r="K480" s="400"/>
      <c r="L480" s="400"/>
      <c r="M480" s="400"/>
      <c r="N480" s="400"/>
    </row>
    <row r="481">
      <c r="A481" s="400"/>
      <c r="B481" s="400"/>
      <c r="C481" s="400"/>
      <c r="D481" s="464"/>
      <c r="E481" s="464"/>
      <c r="F481" s="400"/>
      <c r="G481" s="400"/>
      <c r="H481" s="400"/>
      <c r="I481" s="400"/>
      <c r="J481" s="400"/>
      <c r="K481" s="400"/>
      <c r="L481" s="400"/>
      <c r="M481" s="400"/>
      <c r="N481" s="400"/>
    </row>
    <row r="482">
      <c r="A482" s="400"/>
      <c r="B482" s="400"/>
      <c r="C482" s="400"/>
      <c r="D482" s="464"/>
      <c r="E482" s="464"/>
      <c r="F482" s="400"/>
      <c r="G482" s="400"/>
      <c r="H482" s="400"/>
      <c r="I482" s="400"/>
      <c r="J482" s="400"/>
      <c r="K482" s="400"/>
      <c r="L482" s="400"/>
      <c r="M482" s="400"/>
      <c r="N482" s="400"/>
    </row>
    <row r="483">
      <c r="A483" s="400"/>
      <c r="B483" s="400"/>
      <c r="C483" s="400"/>
      <c r="D483" s="464"/>
      <c r="E483" s="464"/>
      <c r="F483" s="400"/>
      <c r="G483" s="400"/>
      <c r="H483" s="400"/>
      <c r="I483" s="400"/>
      <c r="J483" s="400"/>
      <c r="K483" s="400"/>
      <c r="L483" s="400"/>
      <c r="M483" s="400"/>
      <c r="N483" s="400"/>
    </row>
    <row r="484">
      <c r="A484" s="400"/>
      <c r="B484" s="400"/>
      <c r="C484" s="400"/>
      <c r="D484" s="464"/>
      <c r="E484" s="464"/>
      <c r="F484" s="400"/>
      <c r="G484" s="400"/>
      <c r="H484" s="400"/>
      <c r="I484" s="400"/>
      <c r="J484" s="400"/>
      <c r="K484" s="400"/>
      <c r="L484" s="400"/>
      <c r="M484" s="400"/>
      <c r="N484" s="400"/>
    </row>
    <row r="485">
      <c r="A485" s="400"/>
      <c r="B485" s="400"/>
      <c r="C485" s="400"/>
      <c r="D485" s="464"/>
      <c r="E485" s="464"/>
      <c r="F485" s="400"/>
      <c r="G485" s="400"/>
      <c r="H485" s="400"/>
      <c r="I485" s="400"/>
      <c r="J485" s="400"/>
      <c r="K485" s="400"/>
      <c r="L485" s="400"/>
      <c r="M485" s="400"/>
      <c r="N485" s="400"/>
    </row>
    <row r="486">
      <c r="A486" s="400"/>
      <c r="B486" s="400"/>
      <c r="C486" s="400"/>
      <c r="D486" s="464"/>
      <c r="E486" s="464"/>
      <c r="F486" s="400"/>
      <c r="G486" s="400"/>
      <c r="H486" s="400"/>
      <c r="I486" s="400"/>
      <c r="J486" s="400"/>
      <c r="K486" s="400"/>
      <c r="L486" s="400"/>
      <c r="M486" s="400"/>
      <c r="N486" s="400"/>
    </row>
    <row r="487">
      <c r="A487" s="400"/>
      <c r="B487" s="400"/>
      <c r="C487" s="400"/>
      <c r="D487" s="464"/>
      <c r="E487" s="464"/>
      <c r="F487" s="400"/>
      <c r="G487" s="400"/>
      <c r="H487" s="400"/>
      <c r="I487" s="400"/>
      <c r="J487" s="400"/>
      <c r="K487" s="400"/>
      <c r="L487" s="400"/>
      <c r="M487" s="400"/>
      <c r="N487" s="400"/>
    </row>
    <row r="488">
      <c r="A488" s="400"/>
      <c r="B488" s="400"/>
      <c r="C488" s="400"/>
      <c r="D488" s="464"/>
      <c r="E488" s="464"/>
      <c r="F488" s="400"/>
      <c r="G488" s="400"/>
      <c r="H488" s="400"/>
      <c r="I488" s="400"/>
      <c r="J488" s="400"/>
      <c r="K488" s="400"/>
      <c r="L488" s="400"/>
      <c r="M488" s="400"/>
      <c r="N488" s="400"/>
    </row>
    <row r="489">
      <c r="A489" s="400"/>
      <c r="B489" s="400"/>
      <c r="C489" s="400"/>
      <c r="D489" s="464"/>
      <c r="E489" s="464"/>
      <c r="F489" s="400"/>
      <c r="G489" s="400"/>
      <c r="H489" s="400"/>
      <c r="I489" s="400"/>
      <c r="J489" s="400"/>
      <c r="K489" s="400"/>
      <c r="L489" s="400"/>
      <c r="M489" s="400"/>
      <c r="N489" s="400"/>
    </row>
    <row r="490">
      <c r="A490" s="400"/>
      <c r="B490" s="400"/>
      <c r="C490" s="400"/>
      <c r="D490" s="464"/>
      <c r="E490" s="464"/>
      <c r="F490" s="400"/>
      <c r="G490" s="400"/>
      <c r="H490" s="400"/>
      <c r="I490" s="400"/>
      <c r="J490" s="400"/>
      <c r="K490" s="400"/>
      <c r="L490" s="400"/>
      <c r="M490" s="400"/>
      <c r="N490" s="400"/>
    </row>
    <row r="491">
      <c r="A491" s="400"/>
      <c r="B491" s="400"/>
      <c r="C491" s="400"/>
      <c r="D491" s="464"/>
      <c r="E491" s="464"/>
      <c r="F491" s="400"/>
      <c r="G491" s="400"/>
      <c r="H491" s="400"/>
      <c r="I491" s="400"/>
      <c r="J491" s="400"/>
      <c r="K491" s="400"/>
      <c r="L491" s="400"/>
      <c r="M491" s="400"/>
      <c r="N491" s="400"/>
    </row>
    <row r="492">
      <c r="A492" s="400"/>
      <c r="B492" s="400"/>
      <c r="C492" s="400"/>
      <c r="D492" s="464"/>
      <c r="E492" s="464"/>
      <c r="F492" s="400"/>
      <c r="G492" s="400"/>
      <c r="H492" s="400"/>
      <c r="I492" s="400"/>
      <c r="J492" s="400"/>
      <c r="K492" s="400"/>
      <c r="L492" s="400"/>
      <c r="M492" s="400"/>
      <c r="N492" s="400"/>
    </row>
    <row r="493">
      <c r="A493" s="400"/>
      <c r="B493" s="400"/>
      <c r="C493" s="400"/>
      <c r="D493" s="464"/>
      <c r="E493" s="464"/>
      <c r="F493" s="400"/>
      <c r="G493" s="400"/>
      <c r="H493" s="400"/>
      <c r="I493" s="400"/>
      <c r="J493" s="400"/>
      <c r="K493" s="400"/>
      <c r="L493" s="400"/>
      <c r="M493" s="400"/>
      <c r="N493" s="400"/>
    </row>
    <row r="494">
      <c r="A494" s="400"/>
      <c r="B494" s="400"/>
      <c r="C494" s="400"/>
      <c r="D494" s="464"/>
      <c r="E494" s="464"/>
      <c r="F494" s="400"/>
      <c r="G494" s="400"/>
      <c r="H494" s="400"/>
      <c r="I494" s="400"/>
      <c r="J494" s="400"/>
      <c r="K494" s="400"/>
      <c r="L494" s="400"/>
      <c r="M494" s="400"/>
      <c r="N494" s="400"/>
    </row>
    <row r="495">
      <c r="A495" s="400"/>
      <c r="B495" s="400"/>
      <c r="C495" s="400"/>
      <c r="D495" s="464"/>
      <c r="E495" s="464"/>
      <c r="F495" s="400"/>
      <c r="G495" s="400"/>
      <c r="H495" s="400"/>
      <c r="I495" s="400"/>
      <c r="J495" s="400"/>
      <c r="K495" s="400"/>
      <c r="L495" s="400"/>
      <c r="M495" s="400"/>
      <c r="N495" s="400"/>
    </row>
    <row r="496">
      <c r="A496" s="400"/>
      <c r="B496" s="400"/>
      <c r="C496" s="400"/>
      <c r="D496" s="464"/>
      <c r="E496" s="464"/>
      <c r="F496" s="400"/>
      <c r="G496" s="400"/>
      <c r="H496" s="400"/>
      <c r="I496" s="400"/>
      <c r="J496" s="400"/>
      <c r="K496" s="400"/>
      <c r="L496" s="400"/>
      <c r="M496" s="400"/>
      <c r="N496" s="400"/>
    </row>
    <row r="497">
      <c r="A497" s="400"/>
      <c r="B497" s="400"/>
      <c r="C497" s="400"/>
      <c r="D497" s="464"/>
      <c r="E497" s="464"/>
      <c r="F497" s="400"/>
      <c r="G497" s="400"/>
      <c r="H497" s="400"/>
      <c r="I497" s="400"/>
      <c r="J497" s="400"/>
      <c r="K497" s="400"/>
      <c r="L497" s="400"/>
      <c r="M497" s="400"/>
      <c r="N497" s="400"/>
    </row>
    <row r="498">
      <c r="A498" s="400"/>
      <c r="B498" s="400"/>
      <c r="C498" s="400"/>
      <c r="D498" s="464"/>
      <c r="E498" s="464"/>
      <c r="F498" s="400"/>
      <c r="G498" s="400"/>
      <c r="H498" s="400"/>
      <c r="I498" s="400"/>
      <c r="J498" s="400"/>
      <c r="K498" s="400"/>
      <c r="L498" s="400"/>
      <c r="M498" s="400"/>
      <c r="N498" s="400"/>
    </row>
    <row r="499">
      <c r="A499" s="400"/>
      <c r="B499" s="400"/>
      <c r="C499" s="400"/>
      <c r="D499" s="464"/>
      <c r="E499" s="464"/>
      <c r="F499" s="400"/>
      <c r="G499" s="400"/>
      <c r="H499" s="400"/>
      <c r="I499" s="400"/>
      <c r="J499" s="400"/>
      <c r="K499" s="400"/>
      <c r="L499" s="400"/>
      <c r="M499" s="400"/>
      <c r="N499" s="400"/>
    </row>
    <row r="500">
      <c r="A500" s="400"/>
      <c r="B500" s="400"/>
      <c r="C500" s="400"/>
      <c r="D500" s="464"/>
      <c r="E500" s="464"/>
      <c r="F500" s="400"/>
      <c r="G500" s="400"/>
      <c r="H500" s="400"/>
      <c r="I500" s="400"/>
      <c r="J500" s="400"/>
      <c r="K500" s="400"/>
      <c r="L500" s="400"/>
      <c r="M500" s="400"/>
      <c r="N500" s="400"/>
    </row>
    <row r="501">
      <c r="A501" s="400"/>
      <c r="B501" s="400"/>
      <c r="C501" s="400"/>
      <c r="D501" s="464"/>
      <c r="E501" s="464"/>
      <c r="F501" s="400"/>
      <c r="G501" s="400"/>
      <c r="H501" s="400"/>
      <c r="I501" s="400"/>
      <c r="J501" s="400"/>
      <c r="K501" s="400"/>
      <c r="L501" s="400"/>
      <c r="M501" s="400"/>
      <c r="N501" s="400"/>
    </row>
    <row r="502">
      <c r="A502" s="400"/>
      <c r="B502" s="400"/>
      <c r="C502" s="400"/>
      <c r="D502" s="464"/>
      <c r="E502" s="464"/>
      <c r="F502" s="400"/>
      <c r="G502" s="400"/>
      <c r="H502" s="400"/>
      <c r="I502" s="400"/>
      <c r="J502" s="400"/>
      <c r="K502" s="400"/>
      <c r="L502" s="400"/>
      <c r="M502" s="400"/>
      <c r="N502" s="400"/>
    </row>
    <row r="503">
      <c r="A503" s="400"/>
      <c r="B503" s="400"/>
      <c r="C503" s="400"/>
      <c r="D503" s="464"/>
      <c r="E503" s="464"/>
      <c r="F503" s="400"/>
      <c r="G503" s="400"/>
      <c r="H503" s="400"/>
      <c r="I503" s="400"/>
      <c r="J503" s="400"/>
      <c r="K503" s="400"/>
      <c r="L503" s="400"/>
      <c r="M503" s="400"/>
      <c r="N503" s="400"/>
    </row>
    <row r="504">
      <c r="A504" s="400"/>
      <c r="B504" s="400"/>
      <c r="C504" s="400"/>
      <c r="D504" s="464"/>
      <c r="E504" s="464"/>
      <c r="F504" s="400"/>
      <c r="G504" s="400"/>
      <c r="H504" s="400"/>
      <c r="I504" s="400"/>
      <c r="J504" s="400"/>
      <c r="K504" s="400"/>
      <c r="L504" s="400"/>
      <c r="M504" s="400"/>
      <c r="N504" s="400"/>
    </row>
    <row r="505">
      <c r="A505" s="400"/>
      <c r="B505" s="400"/>
      <c r="C505" s="400"/>
      <c r="D505" s="464"/>
      <c r="E505" s="464"/>
      <c r="F505" s="400"/>
      <c r="G505" s="400"/>
      <c r="H505" s="400"/>
      <c r="I505" s="400"/>
      <c r="J505" s="400"/>
      <c r="K505" s="400"/>
      <c r="L505" s="400"/>
      <c r="M505" s="400"/>
      <c r="N505" s="400"/>
    </row>
    <row r="506">
      <c r="A506" s="400"/>
      <c r="B506" s="400"/>
      <c r="C506" s="400"/>
      <c r="D506" s="464"/>
      <c r="E506" s="464"/>
      <c r="F506" s="400"/>
      <c r="G506" s="400"/>
      <c r="H506" s="400"/>
      <c r="I506" s="400"/>
      <c r="J506" s="400"/>
      <c r="K506" s="400"/>
      <c r="L506" s="400"/>
      <c r="M506" s="400"/>
      <c r="N506" s="400"/>
    </row>
    <row r="507">
      <c r="A507" s="400"/>
      <c r="B507" s="400"/>
      <c r="C507" s="400"/>
      <c r="D507" s="464"/>
      <c r="E507" s="464"/>
      <c r="F507" s="400"/>
      <c r="G507" s="400"/>
      <c r="H507" s="400"/>
      <c r="I507" s="400"/>
      <c r="J507" s="400"/>
      <c r="K507" s="400"/>
      <c r="L507" s="400"/>
      <c r="M507" s="400"/>
      <c r="N507" s="400"/>
    </row>
    <row r="508">
      <c r="A508" s="400"/>
      <c r="B508" s="400"/>
      <c r="C508" s="400"/>
      <c r="D508" s="464"/>
      <c r="E508" s="464"/>
      <c r="F508" s="400"/>
      <c r="G508" s="400"/>
      <c r="H508" s="400"/>
      <c r="I508" s="400"/>
      <c r="J508" s="400"/>
      <c r="K508" s="400"/>
      <c r="L508" s="400"/>
      <c r="M508" s="400"/>
      <c r="N508" s="400"/>
    </row>
    <row r="509">
      <c r="A509" s="400"/>
      <c r="B509" s="400"/>
      <c r="C509" s="400"/>
      <c r="D509" s="464"/>
      <c r="E509" s="464"/>
      <c r="F509" s="400"/>
      <c r="G509" s="400"/>
      <c r="H509" s="400"/>
      <c r="I509" s="400"/>
      <c r="J509" s="400"/>
      <c r="K509" s="400"/>
      <c r="L509" s="400"/>
      <c r="M509" s="400"/>
      <c r="N509" s="400"/>
    </row>
    <row r="510">
      <c r="A510" s="400"/>
      <c r="B510" s="400"/>
      <c r="C510" s="400"/>
      <c r="D510" s="464"/>
      <c r="E510" s="464"/>
      <c r="F510" s="400"/>
      <c r="G510" s="400"/>
      <c r="H510" s="400"/>
      <c r="I510" s="400"/>
      <c r="J510" s="400"/>
      <c r="K510" s="400"/>
      <c r="L510" s="400"/>
      <c r="M510" s="400"/>
      <c r="N510" s="400"/>
    </row>
    <row r="511">
      <c r="A511" s="400"/>
      <c r="B511" s="400"/>
      <c r="C511" s="400"/>
      <c r="D511" s="464"/>
      <c r="E511" s="464"/>
      <c r="F511" s="400"/>
      <c r="G511" s="400"/>
      <c r="H511" s="400"/>
      <c r="I511" s="400"/>
      <c r="J511" s="400"/>
      <c r="K511" s="400"/>
      <c r="L511" s="400"/>
      <c r="M511" s="400"/>
      <c r="N511" s="400"/>
    </row>
    <row r="512">
      <c r="A512" s="400"/>
      <c r="B512" s="400"/>
      <c r="C512" s="400"/>
      <c r="D512" s="464"/>
      <c r="E512" s="464"/>
      <c r="F512" s="400"/>
      <c r="G512" s="400"/>
      <c r="H512" s="400"/>
      <c r="I512" s="400"/>
      <c r="J512" s="400"/>
      <c r="K512" s="400"/>
      <c r="L512" s="400"/>
      <c r="M512" s="400"/>
      <c r="N512" s="400"/>
    </row>
    <row r="513">
      <c r="A513" s="400"/>
      <c r="B513" s="400"/>
      <c r="C513" s="400"/>
      <c r="D513" s="464"/>
      <c r="E513" s="464"/>
      <c r="F513" s="400"/>
      <c r="G513" s="400"/>
      <c r="H513" s="400"/>
      <c r="I513" s="400"/>
      <c r="J513" s="400"/>
      <c r="K513" s="400"/>
      <c r="L513" s="400"/>
      <c r="M513" s="400"/>
      <c r="N513" s="400"/>
    </row>
    <row r="514">
      <c r="A514" s="400"/>
      <c r="B514" s="400"/>
      <c r="C514" s="400"/>
      <c r="D514" s="464"/>
      <c r="E514" s="464"/>
      <c r="F514" s="400"/>
      <c r="G514" s="400"/>
      <c r="H514" s="400"/>
      <c r="I514" s="400"/>
      <c r="J514" s="400"/>
      <c r="K514" s="400"/>
      <c r="L514" s="400"/>
      <c r="M514" s="400"/>
      <c r="N514" s="400"/>
    </row>
    <row r="515">
      <c r="A515" s="400"/>
      <c r="B515" s="400"/>
      <c r="C515" s="400"/>
      <c r="D515" s="464"/>
      <c r="E515" s="464"/>
      <c r="F515" s="400"/>
      <c r="G515" s="400"/>
      <c r="H515" s="400"/>
      <c r="I515" s="400"/>
      <c r="J515" s="400"/>
      <c r="K515" s="400"/>
      <c r="L515" s="400"/>
      <c r="M515" s="400"/>
      <c r="N515" s="400"/>
    </row>
    <row r="516">
      <c r="A516" s="400"/>
      <c r="B516" s="400"/>
      <c r="C516" s="400"/>
      <c r="D516" s="464"/>
      <c r="E516" s="464"/>
      <c r="F516" s="400"/>
      <c r="G516" s="400"/>
      <c r="H516" s="400"/>
      <c r="I516" s="400"/>
      <c r="J516" s="400"/>
      <c r="K516" s="400"/>
      <c r="L516" s="400"/>
      <c r="M516" s="400"/>
      <c r="N516" s="400"/>
    </row>
    <row r="517">
      <c r="A517" s="400"/>
      <c r="B517" s="400"/>
      <c r="C517" s="400"/>
      <c r="D517" s="464"/>
      <c r="E517" s="464"/>
      <c r="F517" s="400"/>
      <c r="G517" s="400"/>
      <c r="H517" s="400"/>
      <c r="I517" s="400"/>
      <c r="J517" s="400"/>
      <c r="K517" s="400"/>
      <c r="L517" s="400"/>
      <c r="M517" s="400"/>
      <c r="N517" s="400"/>
    </row>
    <row r="518">
      <c r="A518" s="400"/>
      <c r="B518" s="400"/>
      <c r="C518" s="400"/>
      <c r="D518" s="464"/>
      <c r="E518" s="464"/>
      <c r="F518" s="400"/>
      <c r="G518" s="400"/>
      <c r="H518" s="400"/>
      <c r="I518" s="400"/>
      <c r="J518" s="400"/>
      <c r="K518" s="400"/>
      <c r="L518" s="400"/>
      <c r="M518" s="400"/>
      <c r="N518" s="400"/>
    </row>
    <row r="519">
      <c r="A519" s="400"/>
      <c r="B519" s="400"/>
      <c r="C519" s="400"/>
      <c r="D519" s="464"/>
      <c r="E519" s="464"/>
      <c r="F519" s="400"/>
      <c r="G519" s="400"/>
      <c r="H519" s="400"/>
      <c r="I519" s="400"/>
      <c r="J519" s="400"/>
      <c r="K519" s="400"/>
      <c r="L519" s="400"/>
      <c r="M519" s="400"/>
      <c r="N519" s="400"/>
    </row>
    <row r="520">
      <c r="A520" s="400"/>
      <c r="B520" s="400"/>
      <c r="C520" s="400"/>
      <c r="D520" s="464"/>
      <c r="E520" s="464"/>
      <c r="F520" s="400"/>
      <c r="G520" s="400"/>
      <c r="H520" s="400"/>
      <c r="I520" s="400"/>
      <c r="J520" s="400"/>
      <c r="K520" s="400"/>
      <c r="L520" s="400"/>
      <c r="M520" s="400"/>
      <c r="N520" s="400"/>
    </row>
    <row r="521">
      <c r="A521" s="400"/>
      <c r="B521" s="400"/>
      <c r="C521" s="400"/>
      <c r="D521" s="464"/>
      <c r="E521" s="464"/>
      <c r="F521" s="400"/>
      <c r="G521" s="400"/>
      <c r="H521" s="400"/>
      <c r="I521" s="400"/>
      <c r="J521" s="400"/>
      <c r="K521" s="400"/>
      <c r="L521" s="400"/>
      <c r="M521" s="400"/>
      <c r="N521" s="400"/>
    </row>
    <row r="522">
      <c r="A522" s="400"/>
      <c r="B522" s="400"/>
      <c r="C522" s="400"/>
      <c r="D522" s="464"/>
      <c r="E522" s="464"/>
      <c r="F522" s="400"/>
      <c r="G522" s="400"/>
      <c r="H522" s="400"/>
      <c r="I522" s="400"/>
      <c r="J522" s="400"/>
      <c r="K522" s="400"/>
      <c r="L522" s="400"/>
      <c r="M522" s="400"/>
      <c r="N522" s="400"/>
    </row>
    <row r="523">
      <c r="A523" s="400"/>
      <c r="B523" s="400"/>
      <c r="C523" s="400"/>
      <c r="D523" s="464"/>
      <c r="E523" s="464"/>
      <c r="F523" s="400"/>
      <c r="G523" s="400"/>
      <c r="H523" s="400"/>
      <c r="I523" s="400"/>
      <c r="J523" s="400"/>
      <c r="K523" s="400"/>
      <c r="L523" s="400"/>
      <c r="M523" s="400"/>
      <c r="N523" s="400"/>
    </row>
    <row r="524">
      <c r="A524" s="400"/>
      <c r="B524" s="400"/>
      <c r="C524" s="400"/>
      <c r="D524" s="464"/>
      <c r="E524" s="464"/>
      <c r="F524" s="400"/>
      <c r="G524" s="400"/>
      <c r="H524" s="400"/>
      <c r="I524" s="400"/>
      <c r="J524" s="400"/>
      <c r="K524" s="400"/>
      <c r="L524" s="400"/>
      <c r="M524" s="400"/>
      <c r="N524" s="400"/>
    </row>
    <row r="525">
      <c r="A525" s="400"/>
      <c r="B525" s="400"/>
      <c r="C525" s="400"/>
      <c r="D525" s="464"/>
      <c r="E525" s="464"/>
      <c r="F525" s="400"/>
      <c r="G525" s="400"/>
      <c r="H525" s="400"/>
      <c r="I525" s="400"/>
      <c r="J525" s="400"/>
      <c r="K525" s="400"/>
      <c r="L525" s="400"/>
      <c r="M525" s="400"/>
      <c r="N525" s="400"/>
    </row>
    <row r="526">
      <c r="A526" s="400"/>
      <c r="B526" s="400"/>
      <c r="C526" s="400"/>
      <c r="D526" s="464"/>
      <c r="E526" s="464"/>
      <c r="F526" s="400"/>
      <c r="G526" s="400"/>
      <c r="H526" s="400"/>
      <c r="I526" s="400"/>
      <c r="J526" s="400"/>
      <c r="K526" s="400"/>
      <c r="L526" s="400"/>
      <c r="M526" s="400"/>
      <c r="N526" s="400"/>
    </row>
    <row r="527">
      <c r="A527" s="400"/>
      <c r="B527" s="400"/>
      <c r="C527" s="400"/>
      <c r="D527" s="464"/>
      <c r="E527" s="464"/>
      <c r="F527" s="400"/>
      <c r="G527" s="400"/>
      <c r="H527" s="400"/>
      <c r="I527" s="400"/>
      <c r="J527" s="400"/>
      <c r="K527" s="400"/>
      <c r="L527" s="400"/>
      <c r="M527" s="400"/>
      <c r="N527" s="400"/>
    </row>
    <row r="528">
      <c r="A528" s="400"/>
      <c r="B528" s="400"/>
      <c r="C528" s="400"/>
      <c r="D528" s="464"/>
      <c r="E528" s="464"/>
      <c r="F528" s="400"/>
      <c r="G528" s="400"/>
      <c r="H528" s="400"/>
      <c r="I528" s="400"/>
      <c r="J528" s="400"/>
      <c r="K528" s="400"/>
      <c r="L528" s="400"/>
      <c r="M528" s="400"/>
      <c r="N528" s="400"/>
    </row>
    <row r="529">
      <c r="A529" s="400"/>
      <c r="B529" s="400"/>
      <c r="C529" s="400"/>
      <c r="D529" s="464"/>
      <c r="E529" s="464"/>
      <c r="F529" s="400"/>
      <c r="G529" s="400"/>
      <c r="H529" s="400"/>
      <c r="I529" s="400"/>
      <c r="J529" s="400"/>
      <c r="K529" s="400"/>
      <c r="L529" s="400"/>
      <c r="M529" s="400"/>
      <c r="N529" s="400"/>
    </row>
    <row r="530">
      <c r="A530" s="400"/>
      <c r="B530" s="400"/>
      <c r="C530" s="400"/>
      <c r="D530" s="464"/>
      <c r="E530" s="464"/>
      <c r="F530" s="400"/>
      <c r="G530" s="400"/>
      <c r="H530" s="400"/>
      <c r="I530" s="400"/>
      <c r="J530" s="400"/>
      <c r="K530" s="400"/>
      <c r="L530" s="400"/>
      <c r="M530" s="400"/>
      <c r="N530" s="400"/>
    </row>
    <row r="531">
      <c r="A531" s="400"/>
      <c r="B531" s="400"/>
      <c r="C531" s="400"/>
      <c r="D531" s="464"/>
      <c r="E531" s="464"/>
      <c r="F531" s="400"/>
      <c r="G531" s="400"/>
      <c r="H531" s="400"/>
      <c r="I531" s="400"/>
      <c r="J531" s="400"/>
      <c r="K531" s="400"/>
      <c r="L531" s="400"/>
      <c r="M531" s="400"/>
      <c r="N531" s="400"/>
    </row>
    <row r="532">
      <c r="A532" s="400"/>
      <c r="B532" s="400"/>
      <c r="C532" s="400"/>
      <c r="D532" s="464"/>
      <c r="E532" s="464"/>
      <c r="F532" s="400"/>
      <c r="G532" s="400"/>
      <c r="H532" s="400"/>
      <c r="I532" s="400"/>
      <c r="J532" s="400"/>
      <c r="K532" s="400"/>
      <c r="L532" s="400"/>
      <c r="M532" s="400"/>
      <c r="N532" s="400"/>
    </row>
    <row r="533">
      <c r="A533" s="400"/>
      <c r="B533" s="400"/>
      <c r="C533" s="400"/>
      <c r="D533" s="464"/>
      <c r="E533" s="464"/>
      <c r="F533" s="400"/>
      <c r="G533" s="400"/>
      <c r="H533" s="400"/>
      <c r="I533" s="400"/>
      <c r="J533" s="400"/>
      <c r="K533" s="400"/>
      <c r="L533" s="400"/>
      <c r="M533" s="400"/>
      <c r="N533" s="400"/>
    </row>
    <row r="534">
      <c r="A534" s="400"/>
      <c r="B534" s="400"/>
      <c r="C534" s="400"/>
      <c r="D534" s="464"/>
      <c r="E534" s="464"/>
      <c r="F534" s="400"/>
      <c r="G534" s="400"/>
      <c r="H534" s="400"/>
      <c r="I534" s="400"/>
      <c r="J534" s="400"/>
      <c r="K534" s="400"/>
      <c r="L534" s="400"/>
      <c r="M534" s="400"/>
      <c r="N534" s="400"/>
    </row>
    <row r="535">
      <c r="A535" s="400"/>
      <c r="B535" s="400"/>
      <c r="C535" s="400"/>
      <c r="D535" s="464"/>
      <c r="E535" s="464"/>
      <c r="F535" s="400"/>
      <c r="G535" s="400"/>
      <c r="H535" s="400"/>
      <c r="I535" s="400"/>
      <c r="J535" s="400"/>
      <c r="K535" s="400"/>
      <c r="L535" s="400"/>
      <c r="M535" s="400"/>
      <c r="N535" s="400"/>
    </row>
    <row r="536">
      <c r="A536" s="400"/>
      <c r="B536" s="400"/>
      <c r="C536" s="400"/>
      <c r="D536" s="464"/>
      <c r="E536" s="464"/>
      <c r="F536" s="400"/>
      <c r="G536" s="400"/>
      <c r="H536" s="400"/>
      <c r="I536" s="400"/>
      <c r="J536" s="400"/>
      <c r="K536" s="400"/>
      <c r="L536" s="400"/>
      <c r="M536" s="400"/>
      <c r="N536" s="400"/>
    </row>
    <row r="537">
      <c r="A537" s="400"/>
      <c r="B537" s="400"/>
      <c r="C537" s="400"/>
      <c r="D537" s="464"/>
      <c r="E537" s="464"/>
      <c r="F537" s="400"/>
      <c r="G537" s="400"/>
      <c r="H537" s="400"/>
      <c r="I537" s="400"/>
      <c r="J537" s="400"/>
      <c r="K537" s="400"/>
      <c r="L537" s="400"/>
      <c r="M537" s="400"/>
      <c r="N537" s="400"/>
    </row>
    <row r="538">
      <c r="A538" s="400"/>
      <c r="B538" s="400"/>
      <c r="C538" s="400"/>
      <c r="D538" s="464"/>
      <c r="E538" s="464"/>
      <c r="F538" s="400"/>
      <c r="G538" s="400"/>
      <c r="H538" s="400"/>
      <c r="I538" s="400"/>
      <c r="J538" s="400"/>
      <c r="K538" s="400"/>
      <c r="L538" s="400"/>
      <c r="M538" s="400"/>
      <c r="N538" s="400"/>
    </row>
    <row r="539">
      <c r="A539" s="400"/>
      <c r="B539" s="400"/>
      <c r="C539" s="400"/>
      <c r="D539" s="464"/>
      <c r="E539" s="464"/>
      <c r="F539" s="400"/>
      <c r="G539" s="400"/>
      <c r="H539" s="400"/>
      <c r="I539" s="400"/>
      <c r="J539" s="400"/>
      <c r="K539" s="400"/>
      <c r="L539" s="400"/>
      <c r="M539" s="400"/>
      <c r="N539" s="400"/>
    </row>
    <row r="540">
      <c r="A540" s="400"/>
      <c r="B540" s="400"/>
      <c r="C540" s="400"/>
      <c r="D540" s="464"/>
      <c r="E540" s="464"/>
      <c r="F540" s="400"/>
      <c r="G540" s="400"/>
      <c r="H540" s="400"/>
      <c r="I540" s="400"/>
      <c r="J540" s="400"/>
      <c r="K540" s="400"/>
      <c r="L540" s="400"/>
      <c r="M540" s="400"/>
      <c r="N540" s="400"/>
    </row>
    <row r="541">
      <c r="A541" s="400"/>
      <c r="B541" s="400"/>
      <c r="C541" s="400"/>
      <c r="D541" s="464"/>
      <c r="E541" s="464"/>
      <c r="F541" s="400"/>
      <c r="G541" s="400"/>
      <c r="H541" s="400"/>
      <c r="I541" s="400"/>
      <c r="J541" s="400"/>
      <c r="K541" s="400"/>
      <c r="L541" s="400"/>
      <c r="M541" s="400"/>
      <c r="N541" s="400"/>
    </row>
    <row r="542">
      <c r="A542" s="400"/>
      <c r="B542" s="400"/>
      <c r="C542" s="400"/>
      <c r="D542" s="464"/>
      <c r="E542" s="464"/>
      <c r="F542" s="400"/>
      <c r="G542" s="400"/>
      <c r="H542" s="400"/>
      <c r="I542" s="400"/>
      <c r="J542" s="400"/>
      <c r="K542" s="400"/>
      <c r="L542" s="400"/>
      <c r="M542" s="400"/>
      <c r="N542" s="400"/>
    </row>
    <row r="543">
      <c r="A543" s="400"/>
      <c r="B543" s="400"/>
      <c r="C543" s="400"/>
      <c r="D543" s="464"/>
      <c r="E543" s="464"/>
      <c r="F543" s="400"/>
      <c r="G543" s="400"/>
      <c r="H543" s="400"/>
      <c r="I543" s="400"/>
      <c r="J543" s="400"/>
      <c r="K543" s="400"/>
      <c r="L543" s="400"/>
      <c r="M543" s="400"/>
      <c r="N543" s="400"/>
    </row>
    <row r="544">
      <c r="A544" s="400"/>
      <c r="B544" s="400"/>
      <c r="C544" s="400"/>
      <c r="D544" s="464"/>
      <c r="E544" s="464"/>
      <c r="F544" s="400"/>
      <c r="G544" s="400"/>
      <c r="H544" s="400"/>
      <c r="I544" s="400"/>
      <c r="J544" s="400"/>
      <c r="K544" s="400"/>
      <c r="L544" s="400"/>
      <c r="M544" s="400"/>
      <c r="N544" s="400"/>
    </row>
    <row r="545">
      <c r="A545" s="400"/>
      <c r="B545" s="400"/>
      <c r="C545" s="400"/>
      <c r="D545" s="464"/>
      <c r="E545" s="464"/>
      <c r="F545" s="400"/>
      <c r="G545" s="400"/>
      <c r="H545" s="400"/>
      <c r="I545" s="400"/>
      <c r="J545" s="400"/>
      <c r="K545" s="400"/>
      <c r="L545" s="400"/>
      <c r="M545" s="400"/>
      <c r="N545" s="400"/>
    </row>
    <row r="546">
      <c r="A546" s="400"/>
      <c r="B546" s="400"/>
      <c r="C546" s="400"/>
      <c r="D546" s="464"/>
      <c r="E546" s="464"/>
      <c r="F546" s="400"/>
      <c r="G546" s="400"/>
      <c r="H546" s="400"/>
      <c r="I546" s="400"/>
      <c r="J546" s="400"/>
      <c r="K546" s="400"/>
      <c r="L546" s="400"/>
      <c r="M546" s="400"/>
      <c r="N546" s="400"/>
    </row>
    <row r="547">
      <c r="A547" s="400"/>
      <c r="B547" s="400"/>
      <c r="C547" s="400"/>
      <c r="D547" s="464"/>
      <c r="E547" s="464"/>
      <c r="F547" s="400"/>
      <c r="G547" s="400"/>
      <c r="H547" s="400"/>
      <c r="I547" s="400"/>
      <c r="J547" s="400"/>
      <c r="K547" s="400"/>
      <c r="L547" s="400"/>
      <c r="M547" s="400"/>
      <c r="N547" s="400"/>
    </row>
    <row r="548">
      <c r="A548" s="400"/>
      <c r="B548" s="400"/>
      <c r="C548" s="400"/>
      <c r="D548" s="464"/>
      <c r="E548" s="464"/>
      <c r="F548" s="400"/>
      <c r="G548" s="400"/>
      <c r="H548" s="400"/>
      <c r="I548" s="400"/>
      <c r="J548" s="400"/>
      <c r="K548" s="400"/>
      <c r="L548" s="400"/>
      <c r="M548" s="400"/>
      <c r="N548" s="400"/>
    </row>
    <row r="549">
      <c r="A549" s="400"/>
      <c r="B549" s="400"/>
      <c r="C549" s="400"/>
      <c r="D549" s="464"/>
      <c r="E549" s="464"/>
      <c r="F549" s="400"/>
      <c r="G549" s="400"/>
      <c r="H549" s="400"/>
      <c r="I549" s="400"/>
      <c r="J549" s="400"/>
      <c r="K549" s="400"/>
      <c r="L549" s="400"/>
      <c r="M549" s="400"/>
      <c r="N549" s="400"/>
    </row>
    <row r="550">
      <c r="A550" s="400"/>
      <c r="B550" s="400"/>
      <c r="C550" s="400"/>
      <c r="D550" s="464"/>
      <c r="E550" s="464"/>
      <c r="F550" s="400"/>
      <c r="G550" s="400"/>
      <c r="H550" s="400"/>
      <c r="I550" s="400"/>
      <c r="J550" s="400"/>
      <c r="K550" s="400"/>
      <c r="L550" s="400"/>
      <c r="M550" s="400"/>
      <c r="N550" s="400"/>
    </row>
    <row r="551">
      <c r="A551" s="400"/>
      <c r="B551" s="400"/>
      <c r="C551" s="400"/>
      <c r="D551" s="464"/>
      <c r="E551" s="464"/>
      <c r="F551" s="400"/>
      <c r="G551" s="400"/>
      <c r="H551" s="400"/>
      <c r="I551" s="400"/>
      <c r="J551" s="400"/>
      <c r="K551" s="400"/>
      <c r="L551" s="400"/>
      <c r="M551" s="400"/>
      <c r="N551" s="400"/>
    </row>
    <row r="552">
      <c r="A552" s="400"/>
      <c r="B552" s="400"/>
      <c r="C552" s="400"/>
      <c r="D552" s="464"/>
      <c r="E552" s="464"/>
      <c r="F552" s="400"/>
      <c r="G552" s="400"/>
      <c r="H552" s="400"/>
      <c r="I552" s="400"/>
      <c r="J552" s="400"/>
      <c r="K552" s="400"/>
      <c r="L552" s="400"/>
      <c r="M552" s="400"/>
      <c r="N552" s="400"/>
    </row>
    <row r="553">
      <c r="A553" s="400"/>
      <c r="B553" s="400"/>
      <c r="C553" s="400"/>
      <c r="D553" s="464"/>
      <c r="E553" s="464"/>
      <c r="F553" s="400"/>
      <c r="G553" s="400"/>
      <c r="H553" s="400"/>
      <c r="I553" s="400"/>
      <c r="J553" s="400"/>
      <c r="K553" s="400"/>
      <c r="L553" s="400"/>
      <c r="M553" s="400"/>
      <c r="N553" s="400"/>
    </row>
    <row r="554">
      <c r="A554" s="400"/>
      <c r="B554" s="400"/>
      <c r="C554" s="400"/>
      <c r="D554" s="464"/>
      <c r="E554" s="464"/>
      <c r="F554" s="400"/>
      <c r="G554" s="400"/>
      <c r="H554" s="400"/>
      <c r="I554" s="400"/>
      <c r="J554" s="400"/>
      <c r="K554" s="400"/>
      <c r="L554" s="400"/>
      <c r="M554" s="400"/>
      <c r="N554" s="400"/>
    </row>
    <row r="555">
      <c r="A555" s="400"/>
      <c r="B555" s="400"/>
      <c r="C555" s="400"/>
      <c r="D555" s="464"/>
      <c r="E555" s="464"/>
      <c r="F555" s="400"/>
      <c r="G555" s="400"/>
      <c r="H555" s="400"/>
      <c r="I555" s="400"/>
      <c r="J555" s="400"/>
      <c r="K555" s="400"/>
      <c r="L555" s="400"/>
      <c r="M555" s="400"/>
      <c r="N555" s="400"/>
    </row>
    <row r="556">
      <c r="A556" s="400"/>
      <c r="B556" s="400"/>
      <c r="C556" s="400"/>
      <c r="D556" s="464"/>
      <c r="E556" s="464"/>
      <c r="F556" s="400"/>
      <c r="G556" s="400"/>
      <c r="H556" s="400"/>
      <c r="I556" s="400"/>
      <c r="J556" s="400"/>
      <c r="K556" s="400"/>
      <c r="L556" s="400"/>
      <c r="M556" s="400"/>
      <c r="N556" s="400"/>
    </row>
    <row r="557">
      <c r="A557" s="400"/>
      <c r="B557" s="400"/>
      <c r="C557" s="400"/>
      <c r="D557" s="464"/>
      <c r="E557" s="464"/>
      <c r="F557" s="400"/>
      <c r="G557" s="400"/>
      <c r="H557" s="400"/>
      <c r="I557" s="400"/>
      <c r="J557" s="400"/>
      <c r="K557" s="400"/>
      <c r="L557" s="400"/>
      <c r="M557" s="400"/>
      <c r="N557" s="400"/>
    </row>
    <row r="558">
      <c r="A558" s="400"/>
      <c r="B558" s="400"/>
      <c r="C558" s="400"/>
      <c r="D558" s="464"/>
      <c r="E558" s="464"/>
      <c r="F558" s="400"/>
      <c r="G558" s="400"/>
      <c r="H558" s="400"/>
      <c r="I558" s="400"/>
      <c r="J558" s="400"/>
      <c r="K558" s="400"/>
      <c r="L558" s="400"/>
      <c r="M558" s="400"/>
      <c r="N558" s="400"/>
    </row>
    <row r="559">
      <c r="A559" s="400"/>
      <c r="B559" s="400"/>
      <c r="C559" s="400"/>
      <c r="D559" s="464"/>
      <c r="E559" s="464"/>
      <c r="F559" s="400"/>
      <c r="G559" s="400"/>
      <c r="H559" s="400"/>
      <c r="I559" s="400"/>
      <c r="J559" s="400"/>
      <c r="K559" s="400"/>
      <c r="L559" s="400"/>
      <c r="M559" s="400"/>
      <c r="N559" s="400"/>
    </row>
    <row r="560">
      <c r="A560" s="400"/>
      <c r="B560" s="400"/>
      <c r="C560" s="400"/>
      <c r="D560" s="464"/>
      <c r="E560" s="464"/>
      <c r="F560" s="400"/>
      <c r="G560" s="400"/>
      <c r="H560" s="400"/>
      <c r="I560" s="400"/>
      <c r="J560" s="400"/>
      <c r="K560" s="400"/>
      <c r="L560" s="400"/>
      <c r="M560" s="400"/>
      <c r="N560" s="400"/>
    </row>
    <row r="561">
      <c r="A561" s="400"/>
      <c r="B561" s="400"/>
      <c r="C561" s="400"/>
      <c r="D561" s="464"/>
      <c r="E561" s="464"/>
      <c r="F561" s="400"/>
      <c r="G561" s="400"/>
      <c r="H561" s="400"/>
      <c r="I561" s="400"/>
      <c r="J561" s="400"/>
      <c r="K561" s="400"/>
      <c r="L561" s="400"/>
      <c r="M561" s="400"/>
      <c r="N561" s="400"/>
    </row>
    <row r="562">
      <c r="A562" s="400"/>
      <c r="B562" s="400"/>
      <c r="C562" s="400"/>
      <c r="D562" s="464"/>
      <c r="E562" s="464"/>
      <c r="F562" s="400"/>
      <c r="G562" s="400"/>
      <c r="H562" s="400"/>
      <c r="I562" s="400"/>
      <c r="J562" s="400"/>
      <c r="K562" s="400"/>
      <c r="L562" s="400"/>
      <c r="M562" s="400"/>
      <c r="N562" s="400"/>
    </row>
    <row r="563">
      <c r="A563" s="400"/>
      <c r="B563" s="400"/>
      <c r="C563" s="400"/>
      <c r="D563" s="464"/>
      <c r="E563" s="464"/>
      <c r="F563" s="400"/>
      <c r="G563" s="400"/>
      <c r="H563" s="400"/>
      <c r="I563" s="400"/>
      <c r="J563" s="400"/>
      <c r="K563" s="400"/>
      <c r="L563" s="400"/>
      <c r="M563" s="400"/>
      <c r="N563" s="400"/>
    </row>
    <row r="564">
      <c r="A564" s="400"/>
      <c r="B564" s="400"/>
      <c r="C564" s="400"/>
      <c r="D564" s="464"/>
      <c r="E564" s="464"/>
      <c r="F564" s="400"/>
      <c r="G564" s="400"/>
      <c r="H564" s="400"/>
      <c r="I564" s="400"/>
      <c r="J564" s="400"/>
      <c r="K564" s="400"/>
      <c r="L564" s="400"/>
      <c r="M564" s="400"/>
      <c r="N564" s="400"/>
    </row>
    <row r="565">
      <c r="A565" s="400"/>
      <c r="B565" s="400"/>
      <c r="C565" s="400"/>
      <c r="D565" s="464"/>
      <c r="E565" s="464"/>
      <c r="F565" s="400"/>
      <c r="G565" s="400"/>
      <c r="H565" s="400"/>
      <c r="I565" s="400"/>
      <c r="J565" s="400"/>
      <c r="K565" s="400"/>
      <c r="L565" s="400"/>
      <c r="M565" s="400"/>
      <c r="N565" s="400"/>
    </row>
    <row r="566">
      <c r="A566" s="400"/>
      <c r="B566" s="400"/>
      <c r="C566" s="400"/>
      <c r="D566" s="464"/>
      <c r="E566" s="464"/>
      <c r="F566" s="400"/>
      <c r="G566" s="400"/>
      <c r="H566" s="400"/>
      <c r="I566" s="400"/>
      <c r="J566" s="400"/>
      <c r="K566" s="400"/>
      <c r="L566" s="400"/>
      <c r="M566" s="400"/>
      <c r="N566" s="400"/>
    </row>
    <row r="567">
      <c r="A567" s="400"/>
      <c r="B567" s="400"/>
      <c r="C567" s="400"/>
      <c r="D567" s="464"/>
      <c r="E567" s="464"/>
      <c r="F567" s="400"/>
      <c r="G567" s="400"/>
      <c r="H567" s="400"/>
      <c r="I567" s="400"/>
      <c r="J567" s="400"/>
      <c r="K567" s="400"/>
      <c r="L567" s="400"/>
      <c r="M567" s="400"/>
      <c r="N567" s="400"/>
    </row>
    <row r="568">
      <c r="A568" s="400"/>
      <c r="B568" s="400"/>
      <c r="C568" s="400"/>
      <c r="D568" s="464"/>
      <c r="E568" s="464"/>
      <c r="F568" s="400"/>
      <c r="G568" s="400"/>
      <c r="H568" s="400"/>
      <c r="I568" s="400"/>
      <c r="J568" s="400"/>
      <c r="K568" s="400"/>
      <c r="L568" s="400"/>
      <c r="M568" s="400"/>
      <c r="N568" s="400"/>
    </row>
    <row r="569">
      <c r="A569" s="400"/>
      <c r="B569" s="400"/>
      <c r="C569" s="400"/>
      <c r="D569" s="464"/>
      <c r="E569" s="464"/>
      <c r="F569" s="400"/>
      <c r="G569" s="400"/>
      <c r="H569" s="400"/>
      <c r="I569" s="400"/>
      <c r="J569" s="400"/>
      <c r="K569" s="400"/>
      <c r="L569" s="400"/>
      <c r="M569" s="400"/>
      <c r="N569" s="400"/>
    </row>
    <row r="570">
      <c r="A570" s="400"/>
      <c r="B570" s="400"/>
      <c r="C570" s="400"/>
      <c r="D570" s="464"/>
      <c r="E570" s="464"/>
      <c r="F570" s="400"/>
      <c r="G570" s="400"/>
      <c r="H570" s="400"/>
      <c r="I570" s="400"/>
      <c r="J570" s="400"/>
      <c r="K570" s="400"/>
      <c r="L570" s="400"/>
      <c r="M570" s="400"/>
      <c r="N570" s="400"/>
    </row>
    <row r="571">
      <c r="A571" s="400"/>
      <c r="B571" s="400"/>
      <c r="C571" s="400"/>
      <c r="D571" s="464"/>
      <c r="E571" s="464"/>
      <c r="F571" s="400"/>
      <c r="G571" s="400"/>
      <c r="H571" s="400"/>
      <c r="I571" s="400"/>
      <c r="J571" s="400"/>
      <c r="K571" s="400"/>
      <c r="L571" s="400"/>
      <c r="M571" s="400"/>
      <c r="N571" s="400"/>
    </row>
    <row r="572">
      <c r="A572" s="400"/>
      <c r="B572" s="400"/>
      <c r="C572" s="400"/>
      <c r="D572" s="464"/>
      <c r="E572" s="464"/>
      <c r="F572" s="400"/>
      <c r="G572" s="400"/>
      <c r="H572" s="400"/>
      <c r="I572" s="400"/>
      <c r="J572" s="400"/>
      <c r="K572" s="400"/>
      <c r="L572" s="400"/>
      <c r="M572" s="400"/>
      <c r="N572" s="400"/>
    </row>
    <row r="573">
      <c r="A573" s="400"/>
      <c r="B573" s="400"/>
      <c r="C573" s="400"/>
      <c r="D573" s="464"/>
      <c r="E573" s="464"/>
      <c r="F573" s="400"/>
      <c r="G573" s="400"/>
      <c r="H573" s="400"/>
      <c r="I573" s="400"/>
      <c r="J573" s="400"/>
      <c r="K573" s="400"/>
      <c r="L573" s="400"/>
      <c r="M573" s="400"/>
      <c r="N573" s="400"/>
    </row>
    <row r="574">
      <c r="A574" s="400"/>
      <c r="B574" s="400"/>
      <c r="C574" s="400"/>
      <c r="D574" s="464"/>
      <c r="E574" s="464"/>
      <c r="F574" s="400"/>
      <c r="G574" s="400"/>
      <c r="H574" s="400"/>
      <c r="I574" s="400"/>
      <c r="J574" s="400"/>
      <c r="K574" s="400"/>
      <c r="L574" s="400"/>
      <c r="M574" s="400"/>
      <c r="N574" s="400"/>
    </row>
    <row r="575">
      <c r="A575" s="400"/>
      <c r="B575" s="400"/>
      <c r="C575" s="400"/>
      <c r="D575" s="464"/>
      <c r="E575" s="464"/>
      <c r="F575" s="400"/>
      <c r="G575" s="400"/>
      <c r="H575" s="400"/>
      <c r="I575" s="400"/>
      <c r="J575" s="400"/>
      <c r="K575" s="400"/>
      <c r="L575" s="400"/>
      <c r="M575" s="400"/>
      <c r="N575" s="400"/>
    </row>
    <row r="576">
      <c r="A576" s="400"/>
      <c r="B576" s="400"/>
      <c r="C576" s="400"/>
      <c r="D576" s="464"/>
      <c r="E576" s="464"/>
      <c r="F576" s="400"/>
      <c r="G576" s="400"/>
      <c r="H576" s="400"/>
      <c r="I576" s="400"/>
      <c r="J576" s="400"/>
      <c r="K576" s="400"/>
      <c r="L576" s="400"/>
      <c r="M576" s="400"/>
      <c r="N576" s="400"/>
    </row>
    <row r="577">
      <c r="A577" s="400"/>
      <c r="B577" s="400"/>
      <c r="C577" s="400"/>
      <c r="D577" s="464"/>
      <c r="E577" s="464"/>
      <c r="F577" s="400"/>
      <c r="G577" s="400"/>
      <c r="H577" s="400"/>
      <c r="I577" s="400"/>
      <c r="J577" s="400"/>
      <c r="K577" s="400"/>
      <c r="L577" s="400"/>
      <c r="M577" s="400"/>
      <c r="N577" s="400"/>
    </row>
    <row r="578">
      <c r="A578" s="400"/>
      <c r="B578" s="400"/>
      <c r="C578" s="400"/>
      <c r="D578" s="464"/>
      <c r="E578" s="464"/>
      <c r="F578" s="400"/>
      <c r="G578" s="400"/>
      <c r="H578" s="400"/>
      <c r="I578" s="400"/>
      <c r="J578" s="400"/>
      <c r="K578" s="400"/>
      <c r="L578" s="400"/>
      <c r="M578" s="400"/>
      <c r="N578" s="400"/>
    </row>
    <row r="579">
      <c r="A579" s="400"/>
      <c r="B579" s="400"/>
      <c r="C579" s="400"/>
      <c r="D579" s="464"/>
      <c r="E579" s="464"/>
      <c r="F579" s="400"/>
      <c r="G579" s="400"/>
      <c r="H579" s="400"/>
      <c r="I579" s="400"/>
      <c r="J579" s="400"/>
      <c r="K579" s="400"/>
      <c r="L579" s="400"/>
      <c r="M579" s="400"/>
      <c r="N579" s="400"/>
    </row>
    <row r="580">
      <c r="A580" s="400"/>
      <c r="B580" s="400"/>
      <c r="C580" s="400"/>
      <c r="D580" s="464"/>
      <c r="E580" s="464"/>
      <c r="F580" s="400"/>
      <c r="G580" s="400"/>
      <c r="H580" s="400"/>
      <c r="I580" s="400"/>
      <c r="J580" s="400"/>
      <c r="K580" s="400"/>
      <c r="L580" s="400"/>
      <c r="M580" s="400"/>
      <c r="N580" s="400"/>
    </row>
    <row r="581">
      <c r="A581" s="400"/>
      <c r="B581" s="400"/>
      <c r="C581" s="400"/>
      <c r="D581" s="464"/>
      <c r="E581" s="464"/>
      <c r="F581" s="400"/>
      <c r="G581" s="400"/>
      <c r="H581" s="400"/>
      <c r="I581" s="400"/>
      <c r="J581" s="400"/>
      <c r="K581" s="400"/>
      <c r="L581" s="400"/>
      <c r="M581" s="400"/>
      <c r="N581" s="400"/>
    </row>
    <row r="582">
      <c r="A582" s="400"/>
      <c r="B582" s="400"/>
      <c r="C582" s="400"/>
      <c r="D582" s="464"/>
      <c r="E582" s="464"/>
      <c r="F582" s="400"/>
      <c r="G582" s="400"/>
      <c r="H582" s="400"/>
      <c r="I582" s="400"/>
      <c r="J582" s="400"/>
      <c r="K582" s="400"/>
      <c r="L582" s="400"/>
      <c r="M582" s="400"/>
      <c r="N582" s="400"/>
    </row>
    <row r="583">
      <c r="A583" s="400"/>
      <c r="B583" s="400"/>
      <c r="C583" s="400"/>
      <c r="D583" s="464"/>
      <c r="E583" s="464"/>
      <c r="F583" s="400"/>
      <c r="G583" s="400"/>
      <c r="H583" s="400"/>
      <c r="I583" s="400"/>
      <c r="J583" s="400"/>
      <c r="K583" s="400"/>
      <c r="L583" s="400"/>
      <c r="M583" s="400"/>
      <c r="N583" s="400"/>
    </row>
    <row r="584">
      <c r="A584" s="400"/>
      <c r="B584" s="400"/>
      <c r="C584" s="400"/>
      <c r="D584" s="464"/>
      <c r="E584" s="464"/>
      <c r="F584" s="400"/>
      <c r="G584" s="400"/>
      <c r="H584" s="400"/>
      <c r="I584" s="400"/>
      <c r="J584" s="400"/>
      <c r="K584" s="400"/>
      <c r="L584" s="400"/>
      <c r="M584" s="400"/>
      <c r="N584" s="400"/>
    </row>
    <row r="585">
      <c r="A585" s="400"/>
      <c r="B585" s="400"/>
      <c r="C585" s="400"/>
      <c r="D585" s="464"/>
      <c r="E585" s="464"/>
      <c r="F585" s="400"/>
      <c r="G585" s="400"/>
      <c r="H585" s="400"/>
      <c r="I585" s="400"/>
      <c r="J585" s="400"/>
      <c r="K585" s="400"/>
      <c r="L585" s="400"/>
      <c r="M585" s="400"/>
      <c r="N585" s="400"/>
    </row>
    <row r="586">
      <c r="A586" s="400"/>
      <c r="B586" s="400"/>
      <c r="C586" s="400"/>
      <c r="D586" s="464"/>
      <c r="E586" s="464"/>
      <c r="F586" s="400"/>
      <c r="G586" s="400"/>
      <c r="H586" s="400"/>
      <c r="I586" s="400"/>
      <c r="J586" s="400"/>
      <c r="K586" s="400"/>
      <c r="L586" s="400"/>
      <c r="M586" s="400"/>
      <c r="N586" s="400"/>
    </row>
    <row r="587">
      <c r="A587" s="400"/>
      <c r="B587" s="400"/>
      <c r="C587" s="400"/>
      <c r="D587" s="464"/>
      <c r="E587" s="464"/>
      <c r="F587" s="400"/>
      <c r="G587" s="400"/>
      <c r="H587" s="400"/>
      <c r="I587" s="400"/>
      <c r="J587" s="400"/>
      <c r="K587" s="400"/>
      <c r="L587" s="400"/>
      <c r="M587" s="400"/>
      <c r="N587" s="400"/>
    </row>
    <row r="588">
      <c r="A588" s="400"/>
      <c r="B588" s="400"/>
      <c r="C588" s="400"/>
      <c r="D588" s="464"/>
      <c r="E588" s="464"/>
      <c r="F588" s="400"/>
      <c r="G588" s="400"/>
      <c r="H588" s="400"/>
      <c r="I588" s="400"/>
      <c r="J588" s="400"/>
      <c r="K588" s="400"/>
      <c r="L588" s="400"/>
      <c r="M588" s="400"/>
      <c r="N588" s="400"/>
    </row>
    <row r="589">
      <c r="A589" s="400"/>
      <c r="B589" s="400"/>
      <c r="C589" s="400"/>
      <c r="D589" s="464"/>
      <c r="E589" s="464"/>
      <c r="F589" s="400"/>
      <c r="G589" s="400"/>
      <c r="H589" s="400"/>
      <c r="I589" s="400"/>
      <c r="J589" s="400"/>
      <c r="K589" s="400"/>
      <c r="L589" s="400"/>
      <c r="M589" s="400"/>
      <c r="N589" s="400"/>
    </row>
    <row r="590">
      <c r="A590" s="400"/>
      <c r="B590" s="400"/>
      <c r="C590" s="400"/>
      <c r="D590" s="464"/>
      <c r="E590" s="464"/>
      <c r="F590" s="400"/>
      <c r="G590" s="400"/>
      <c r="H590" s="400"/>
      <c r="I590" s="400"/>
      <c r="J590" s="400"/>
      <c r="K590" s="400"/>
      <c r="L590" s="400"/>
      <c r="M590" s="400"/>
      <c r="N590" s="400"/>
    </row>
    <row r="591">
      <c r="A591" s="400"/>
      <c r="B591" s="400"/>
      <c r="C591" s="400"/>
      <c r="D591" s="464"/>
      <c r="E591" s="464"/>
      <c r="F591" s="400"/>
      <c r="G591" s="400"/>
      <c r="H591" s="400"/>
      <c r="I591" s="400"/>
      <c r="J591" s="400"/>
      <c r="K591" s="400"/>
      <c r="L591" s="400"/>
      <c r="M591" s="400"/>
      <c r="N591" s="400"/>
    </row>
    <row r="592">
      <c r="A592" s="400"/>
      <c r="B592" s="400"/>
      <c r="C592" s="400"/>
      <c r="D592" s="464"/>
      <c r="E592" s="464"/>
      <c r="F592" s="400"/>
      <c r="G592" s="400"/>
      <c r="H592" s="400"/>
      <c r="I592" s="400"/>
      <c r="J592" s="400"/>
      <c r="K592" s="400"/>
      <c r="L592" s="400"/>
      <c r="M592" s="400"/>
      <c r="N592" s="400"/>
    </row>
    <row r="593">
      <c r="A593" s="400"/>
      <c r="B593" s="400"/>
      <c r="C593" s="400"/>
      <c r="D593" s="464"/>
      <c r="E593" s="464"/>
      <c r="F593" s="400"/>
      <c r="G593" s="400"/>
      <c r="H593" s="400"/>
      <c r="I593" s="400"/>
      <c r="J593" s="400"/>
      <c r="K593" s="400"/>
      <c r="L593" s="400"/>
      <c r="M593" s="400"/>
      <c r="N593" s="400"/>
    </row>
    <row r="594">
      <c r="A594" s="400"/>
      <c r="B594" s="400"/>
      <c r="C594" s="400"/>
      <c r="D594" s="464"/>
      <c r="E594" s="464"/>
      <c r="F594" s="400"/>
      <c r="G594" s="400"/>
      <c r="H594" s="400"/>
      <c r="I594" s="400"/>
      <c r="J594" s="400"/>
      <c r="K594" s="400"/>
      <c r="L594" s="400"/>
      <c r="M594" s="400"/>
      <c r="N594" s="400"/>
    </row>
    <row r="595">
      <c r="A595" s="400"/>
      <c r="B595" s="400"/>
      <c r="C595" s="400"/>
      <c r="D595" s="464"/>
      <c r="E595" s="464"/>
      <c r="F595" s="400"/>
      <c r="G595" s="400"/>
      <c r="H595" s="400"/>
      <c r="I595" s="400"/>
      <c r="J595" s="400"/>
      <c r="K595" s="400"/>
      <c r="L595" s="400"/>
      <c r="M595" s="400"/>
      <c r="N595" s="400"/>
    </row>
    <row r="596">
      <c r="A596" s="400"/>
      <c r="B596" s="400"/>
      <c r="C596" s="400"/>
      <c r="D596" s="464"/>
      <c r="E596" s="464"/>
      <c r="F596" s="400"/>
      <c r="G596" s="400"/>
      <c r="H596" s="400"/>
      <c r="I596" s="400"/>
      <c r="J596" s="400"/>
      <c r="K596" s="400"/>
      <c r="L596" s="400"/>
      <c r="M596" s="400"/>
      <c r="N596" s="400"/>
    </row>
    <row r="597">
      <c r="A597" s="400"/>
      <c r="B597" s="400"/>
      <c r="C597" s="400"/>
      <c r="D597" s="464"/>
      <c r="E597" s="464"/>
      <c r="F597" s="400"/>
      <c r="G597" s="400"/>
      <c r="H597" s="400"/>
      <c r="I597" s="400"/>
      <c r="J597" s="400"/>
      <c r="K597" s="400"/>
      <c r="L597" s="400"/>
      <c r="M597" s="400"/>
      <c r="N597" s="400"/>
    </row>
    <row r="598">
      <c r="A598" s="400"/>
      <c r="B598" s="400"/>
      <c r="C598" s="400"/>
      <c r="D598" s="464"/>
      <c r="E598" s="464"/>
      <c r="F598" s="400"/>
      <c r="G598" s="400"/>
      <c r="H598" s="400"/>
      <c r="I598" s="400"/>
      <c r="J598" s="400"/>
      <c r="K598" s="400"/>
      <c r="L598" s="400"/>
      <c r="M598" s="400"/>
      <c r="N598" s="400"/>
    </row>
    <row r="599">
      <c r="A599" s="400"/>
      <c r="B599" s="400"/>
      <c r="C599" s="400"/>
      <c r="D599" s="464"/>
      <c r="E599" s="464"/>
      <c r="F599" s="400"/>
      <c r="G599" s="400"/>
      <c r="H599" s="400"/>
      <c r="I599" s="400"/>
      <c r="J599" s="400"/>
      <c r="K599" s="400"/>
      <c r="L599" s="400"/>
      <c r="M599" s="400"/>
      <c r="N599" s="400"/>
    </row>
    <row r="600">
      <c r="A600" s="400"/>
      <c r="B600" s="400"/>
      <c r="C600" s="400"/>
      <c r="D600" s="464"/>
      <c r="E600" s="464"/>
      <c r="F600" s="400"/>
      <c r="G600" s="400"/>
      <c r="H600" s="400"/>
      <c r="I600" s="400"/>
      <c r="J600" s="400"/>
      <c r="K600" s="400"/>
      <c r="L600" s="400"/>
      <c r="M600" s="400"/>
      <c r="N600" s="400"/>
    </row>
    <row r="601">
      <c r="A601" s="400"/>
      <c r="B601" s="400"/>
      <c r="C601" s="400"/>
      <c r="D601" s="464"/>
      <c r="E601" s="464"/>
      <c r="F601" s="400"/>
      <c r="G601" s="400"/>
      <c r="H601" s="400"/>
      <c r="I601" s="400"/>
      <c r="J601" s="400"/>
      <c r="K601" s="400"/>
      <c r="L601" s="400"/>
      <c r="M601" s="400"/>
      <c r="N601" s="400"/>
    </row>
    <row r="602">
      <c r="A602" s="400"/>
      <c r="B602" s="400"/>
      <c r="C602" s="400"/>
      <c r="D602" s="464"/>
      <c r="E602" s="464"/>
      <c r="F602" s="400"/>
      <c r="G602" s="400"/>
      <c r="H602" s="400"/>
      <c r="I602" s="400"/>
      <c r="J602" s="400"/>
      <c r="K602" s="400"/>
      <c r="L602" s="400"/>
      <c r="M602" s="400"/>
      <c r="N602" s="400"/>
    </row>
    <row r="603">
      <c r="A603" s="400"/>
      <c r="B603" s="400"/>
      <c r="C603" s="400"/>
      <c r="D603" s="464"/>
      <c r="E603" s="464"/>
      <c r="F603" s="400"/>
      <c r="G603" s="400"/>
      <c r="H603" s="400"/>
      <c r="I603" s="400"/>
      <c r="J603" s="400"/>
      <c r="K603" s="400"/>
      <c r="L603" s="400"/>
      <c r="M603" s="400"/>
      <c r="N603" s="400"/>
    </row>
    <row r="604">
      <c r="A604" s="400"/>
      <c r="B604" s="400"/>
      <c r="C604" s="400"/>
      <c r="D604" s="464"/>
      <c r="E604" s="464"/>
      <c r="F604" s="400"/>
      <c r="G604" s="400"/>
      <c r="H604" s="400"/>
      <c r="I604" s="400"/>
      <c r="J604" s="400"/>
      <c r="K604" s="400"/>
      <c r="L604" s="400"/>
      <c r="M604" s="400"/>
      <c r="N604" s="400"/>
    </row>
    <row r="605">
      <c r="A605" s="400"/>
      <c r="B605" s="400"/>
      <c r="C605" s="400"/>
      <c r="D605" s="464"/>
      <c r="E605" s="464"/>
      <c r="F605" s="400"/>
      <c r="G605" s="400"/>
      <c r="H605" s="400"/>
      <c r="I605" s="400"/>
      <c r="J605" s="400"/>
      <c r="K605" s="400"/>
      <c r="L605" s="400"/>
      <c r="M605" s="400"/>
      <c r="N605" s="400"/>
    </row>
    <row r="606">
      <c r="A606" s="400"/>
      <c r="B606" s="400"/>
      <c r="C606" s="400"/>
      <c r="D606" s="464"/>
      <c r="E606" s="464"/>
      <c r="F606" s="400"/>
      <c r="G606" s="400"/>
      <c r="H606" s="400"/>
      <c r="I606" s="400"/>
      <c r="J606" s="400"/>
      <c r="K606" s="400"/>
      <c r="L606" s="400"/>
      <c r="M606" s="400"/>
      <c r="N606" s="400"/>
    </row>
    <row r="607">
      <c r="A607" s="400"/>
      <c r="B607" s="400"/>
      <c r="C607" s="400"/>
      <c r="D607" s="464"/>
      <c r="E607" s="464"/>
      <c r="F607" s="400"/>
      <c r="G607" s="400"/>
      <c r="H607" s="400"/>
      <c r="I607" s="400"/>
      <c r="J607" s="400"/>
      <c r="K607" s="400"/>
      <c r="L607" s="400"/>
      <c r="M607" s="400"/>
      <c r="N607" s="400"/>
    </row>
    <row r="608">
      <c r="A608" s="400"/>
      <c r="B608" s="400"/>
      <c r="C608" s="400"/>
      <c r="D608" s="464"/>
      <c r="E608" s="464"/>
      <c r="F608" s="400"/>
      <c r="G608" s="400"/>
      <c r="H608" s="400"/>
      <c r="I608" s="400"/>
      <c r="J608" s="400"/>
      <c r="K608" s="400"/>
      <c r="L608" s="400"/>
      <c r="M608" s="400"/>
      <c r="N608" s="400"/>
    </row>
    <row r="609">
      <c r="A609" s="400"/>
      <c r="B609" s="400"/>
      <c r="C609" s="400"/>
      <c r="D609" s="464"/>
      <c r="E609" s="464"/>
      <c r="F609" s="400"/>
      <c r="G609" s="400"/>
      <c r="H609" s="400"/>
      <c r="I609" s="400"/>
      <c r="J609" s="400"/>
      <c r="K609" s="400"/>
      <c r="L609" s="400"/>
      <c r="M609" s="400"/>
      <c r="N609" s="400"/>
    </row>
    <row r="610">
      <c r="A610" s="400"/>
      <c r="B610" s="400"/>
      <c r="C610" s="400"/>
      <c r="D610" s="464"/>
      <c r="E610" s="464"/>
      <c r="F610" s="400"/>
      <c r="G610" s="400"/>
      <c r="H610" s="400"/>
      <c r="I610" s="400"/>
      <c r="J610" s="400"/>
      <c r="K610" s="400"/>
      <c r="L610" s="400"/>
      <c r="M610" s="400"/>
      <c r="N610" s="400"/>
    </row>
    <row r="611">
      <c r="A611" s="400"/>
      <c r="B611" s="400"/>
      <c r="C611" s="400"/>
      <c r="D611" s="464"/>
      <c r="E611" s="464"/>
      <c r="F611" s="400"/>
      <c r="G611" s="400"/>
      <c r="H611" s="400"/>
      <c r="I611" s="400"/>
      <c r="J611" s="400"/>
      <c r="K611" s="400"/>
      <c r="L611" s="400"/>
      <c r="M611" s="400"/>
      <c r="N611" s="400"/>
    </row>
    <row r="612">
      <c r="A612" s="400"/>
      <c r="B612" s="400"/>
      <c r="C612" s="400"/>
      <c r="D612" s="464"/>
      <c r="E612" s="464"/>
      <c r="F612" s="400"/>
      <c r="G612" s="400"/>
      <c r="H612" s="400"/>
      <c r="I612" s="400"/>
      <c r="J612" s="400"/>
      <c r="K612" s="400"/>
      <c r="L612" s="400"/>
      <c r="M612" s="400"/>
      <c r="N612" s="400"/>
    </row>
    <row r="613">
      <c r="A613" s="400"/>
      <c r="B613" s="400"/>
      <c r="C613" s="400"/>
      <c r="D613" s="464"/>
      <c r="E613" s="464"/>
      <c r="F613" s="400"/>
      <c r="G613" s="400"/>
      <c r="H613" s="400"/>
      <c r="I613" s="400"/>
      <c r="J613" s="400"/>
      <c r="K613" s="400"/>
      <c r="L613" s="400"/>
      <c r="M613" s="400"/>
      <c r="N613" s="400"/>
    </row>
    <row r="614">
      <c r="A614" s="400"/>
      <c r="B614" s="400"/>
      <c r="C614" s="400"/>
      <c r="D614" s="464"/>
      <c r="E614" s="464"/>
      <c r="F614" s="400"/>
      <c r="G614" s="400"/>
      <c r="H614" s="400"/>
      <c r="I614" s="400"/>
      <c r="J614" s="400"/>
      <c r="K614" s="400"/>
      <c r="L614" s="400"/>
      <c r="M614" s="400"/>
      <c r="N614" s="400"/>
    </row>
    <row r="615">
      <c r="A615" s="400"/>
      <c r="B615" s="400"/>
      <c r="C615" s="400"/>
      <c r="D615" s="464"/>
      <c r="E615" s="464"/>
      <c r="F615" s="400"/>
      <c r="G615" s="400"/>
      <c r="H615" s="400"/>
      <c r="I615" s="400"/>
      <c r="J615" s="400"/>
      <c r="K615" s="400"/>
      <c r="L615" s="400"/>
      <c r="M615" s="400"/>
      <c r="N615" s="400"/>
    </row>
    <row r="616">
      <c r="A616" s="400"/>
      <c r="B616" s="400"/>
      <c r="C616" s="400"/>
      <c r="D616" s="464"/>
      <c r="E616" s="464"/>
      <c r="F616" s="400"/>
      <c r="G616" s="400"/>
      <c r="H616" s="400"/>
      <c r="I616" s="400"/>
      <c r="J616" s="400"/>
      <c r="K616" s="400"/>
      <c r="L616" s="400"/>
      <c r="M616" s="400"/>
      <c r="N616" s="400"/>
    </row>
    <row r="617">
      <c r="A617" s="400"/>
      <c r="B617" s="400"/>
      <c r="C617" s="400"/>
      <c r="D617" s="464"/>
      <c r="E617" s="464"/>
      <c r="F617" s="400"/>
      <c r="G617" s="400"/>
      <c r="H617" s="400"/>
      <c r="I617" s="400"/>
      <c r="J617" s="400"/>
      <c r="K617" s="400"/>
      <c r="L617" s="400"/>
      <c r="M617" s="400"/>
      <c r="N617" s="400"/>
    </row>
    <row r="618">
      <c r="A618" s="400"/>
      <c r="B618" s="400"/>
      <c r="C618" s="400"/>
      <c r="D618" s="464"/>
      <c r="E618" s="464"/>
      <c r="F618" s="400"/>
      <c r="G618" s="400"/>
      <c r="H618" s="400"/>
      <c r="I618" s="400"/>
      <c r="J618" s="400"/>
      <c r="K618" s="400"/>
      <c r="L618" s="400"/>
      <c r="M618" s="400"/>
      <c r="N618" s="400"/>
    </row>
    <row r="619">
      <c r="A619" s="400"/>
      <c r="B619" s="400"/>
      <c r="C619" s="400"/>
      <c r="D619" s="464"/>
      <c r="E619" s="464"/>
      <c r="F619" s="400"/>
      <c r="G619" s="400"/>
      <c r="H619" s="400"/>
      <c r="I619" s="400"/>
      <c r="J619" s="400"/>
      <c r="K619" s="400"/>
      <c r="L619" s="400"/>
      <c r="M619" s="400"/>
      <c r="N619" s="400"/>
    </row>
    <row r="620">
      <c r="A620" s="400"/>
      <c r="B620" s="400"/>
      <c r="C620" s="400"/>
      <c r="D620" s="464"/>
      <c r="E620" s="464"/>
      <c r="F620" s="400"/>
      <c r="G620" s="400"/>
      <c r="H620" s="400"/>
      <c r="I620" s="400"/>
      <c r="J620" s="400"/>
      <c r="K620" s="400"/>
      <c r="L620" s="400"/>
      <c r="M620" s="400"/>
      <c r="N620" s="400"/>
    </row>
    <row r="621">
      <c r="A621" s="400"/>
      <c r="B621" s="400"/>
      <c r="C621" s="400"/>
      <c r="D621" s="464"/>
      <c r="E621" s="464"/>
      <c r="F621" s="400"/>
      <c r="G621" s="400"/>
      <c r="H621" s="400"/>
      <c r="I621" s="400"/>
      <c r="J621" s="400"/>
      <c r="K621" s="400"/>
      <c r="L621" s="400"/>
      <c r="M621" s="400"/>
      <c r="N621" s="400"/>
    </row>
    <row r="622">
      <c r="A622" s="400"/>
      <c r="B622" s="400"/>
      <c r="C622" s="400"/>
      <c r="D622" s="464"/>
      <c r="E622" s="464"/>
      <c r="F622" s="400"/>
      <c r="G622" s="400"/>
      <c r="H622" s="400"/>
      <c r="I622" s="400"/>
      <c r="J622" s="400"/>
      <c r="K622" s="400"/>
      <c r="L622" s="400"/>
      <c r="M622" s="400"/>
      <c r="N622" s="400"/>
    </row>
    <row r="623">
      <c r="A623" s="400"/>
      <c r="B623" s="400"/>
      <c r="C623" s="400"/>
      <c r="D623" s="464"/>
      <c r="E623" s="464"/>
      <c r="F623" s="400"/>
      <c r="G623" s="400"/>
      <c r="H623" s="400"/>
      <c r="I623" s="400"/>
      <c r="J623" s="400"/>
      <c r="K623" s="400"/>
      <c r="L623" s="400"/>
      <c r="M623" s="400"/>
      <c r="N623" s="400"/>
    </row>
    <row r="624">
      <c r="A624" s="400"/>
      <c r="B624" s="400"/>
      <c r="C624" s="400"/>
      <c r="D624" s="464"/>
      <c r="E624" s="464"/>
      <c r="F624" s="400"/>
      <c r="G624" s="400"/>
      <c r="H624" s="400"/>
      <c r="I624" s="400"/>
      <c r="J624" s="400"/>
      <c r="K624" s="400"/>
      <c r="L624" s="400"/>
      <c r="M624" s="400"/>
      <c r="N624" s="400"/>
    </row>
    <row r="625">
      <c r="A625" s="400"/>
      <c r="B625" s="400"/>
      <c r="C625" s="400"/>
      <c r="D625" s="464"/>
      <c r="E625" s="464"/>
      <c r="F625" s="400"/>
      <c r="G625" s="400"/>
      <c r="H625" s="400"/>
      <c r="I625" s="400"/>
      <c r="J625" s="400"/>
      <c r="K625" s="400"/>
      <c r="L625" s="400"/>
      <c r="M625" s="400"/>
      <c r="N625" s="400"/>
    </row>
    <row r="626">
      <c r="A626" s="400"/>
      <c r="B626" s="400"/>
      <c r="C626" s="400"/>
      <c r="D626" s="464"/>
      <c r="E626" s="464"/>
      <c r="F626" s="400"/>
      <c r="G626" s="400"/>
      <c r="H626" s="400"/>
      <c r="I626" s="400"/>
      <c r="J626" s="400"/>
      <c r="K626" s="400"/>
      <c r="L626" s="400"/>
      <c r="M626" s="400"/>
      <c r="N626" s="400"/>
    </row>
    <row r="627">
      <c r="A627" s="400"/>
      <c r="B627" s="400"/>
      <c r="C627" s="400"/>
      <c r="D627" s="464"/>
      <c r="E627" s="464"/>
      <c r="F627" s="400"/>
      <c r="G627" s="400"/>
      <c r="H627" s="400"/>
      <c r="I627" s="400"/>
      <c r="J627" s="400"/>
      <c r="K627" s="400"/>
      <c r="L627" s="400"/>
      <c r="M627" s="400"/>
      <c r="N627" s="400"/>
    </row>
    <row r="628">
      <c r="A628" s="400"/>
      <c r="B628" s="400"/>
      <c r="C628" s="400"/>
      <c r="D628" s="464"/>
      <c r="E628" s="464"/>
      <c r="F628" s="400"/>
      <c r="G628" s="400"/>
      <c r="H628" s="400"/>
      <c r="I628" s="400"/>
      <c r="J628" s="400"/>
      <c r="K628" s="400"/>
      <c r="L628" s="400"/>
      <c r="M628" s="400"/>
      <c r="N628" s="400"/>
    </row>
    <row r="629">
      <c r="A629" s="400"/>
      <c r="B629" s="400"/>
      <c r="C629" s="400"/>
      <c r="D629" s="464"/>
      <c r="E629" s="464"/>
      <c r="F629" s="400"/>
      <c r="G629" s="400"/>
      <c r="H629" s="400"/>
      <c r="I629" s="400"/>
      <c r="J629" s="400"/>
      <c r="K629" s="400"/>
      <c r="L629" s="400"/>
      <c r="M629" s="400"/>
      <c r="N629" s="400"/>
    </row>
    <row r="630">
      <c r="A630" s="400"/>
      <c r="B630" s="400"/>
      <c r="C630" s="400"/>
      <c r="D630" s="464"/>
      <c r="E630" s="464"/>
      <c r="F630" s="400"/>
      <c r="G630" s="400"/>
      <c r="H630" s="400"/>
      <c r="I630" s="400"/>
      <c r="J630" s="400"/>
      <c r="K630" s="400"/>
      <c r="L630" s="400"/>
      <c r="M630" s="400"/>
      <c r="N630" s="400"/>
    </row>
    <row r="631">
      <c r="A631" s="400"/>
      <c r="B631" s="400"/>
      <c r="C631" s="400"/>
      <c r="D631" s="464"/>
      <c r="E631" s="464"/>
      <c r="F631" s="400"/>
      <c r="G631" s="400"/>
      <c r="H631" s="400"/>
      <c r="I631" s="400"/>
      <c r="J631" s="400"/>
      <c r="K631" s="400"/>
      <c r="L631" s="400"/>
      <c r="M631" s="400"/>
      <c r="N631" s="400"/>
    </row>
    <row r="632">
      <c r="A632" s="400"/>
      <c r="B632" s="400"/>
      <c r="C632" s="400"/>
      <c r="D632" s="464"/>
      <c r="E632" s="464"/>
      <c r="F632" s="400"/>
      <c r="G632" s="400"/>
      <c r="H632" s="400"/>
      <c r="I632" s="400"/>
      <c r="J632" s="400"/>
      <c r="K632" s="400"/>
      <c r="L632" s="400"/>
      <c r="M632" s="400"/>
      <c r="N632" s="400"/>
    </row>
    <row r="633">
      <c r="A633" s="400"/>
      <c r="B633" s="400"/>
      <c r="C633" s="400"/>
      <c r="D633" s="464"/>
      <c r="E633" s="464"/>
      <c r="F633" s="400"/>
      <c r="G633" s="400"/>
      <c r="H633" s="400"/>
      <c r="I633" s="400"/>
      <c r="J633" s="400"/>
      <c r="K633" s="400"/>
      <c r="L633" s="400"/>
      <c r="M633" s="400"/>
      <c r="N633" s="400"/>
    </row>
    <row r="634">
      <c r="A634" s="400"/>
      <c r="B634" s="400"/>
      <c r="C634" s="400"/>
      <c r="D634" s="464"/>
      <c r="E634" s="464"/>
      <c r="F634" s="400"/>
      <c r="G634" s="400"/>
      <c r="H634" s="400"/>
      <c r="I634" s="400"/>
      <c r="J634" s="400"/>
      <c r="K634" s="400"/>
      <c r="L634" s="400"/>
      <c r="M634" s="400"/>
      <c r="N634" s="400"/>
    </row>
    <row r="635">
      <c r="A635" s="400"/>
      <c r="B635" s="400"/>
      <c r="C635" s="400"/>
      <c r="D635" s="464"/>
      <c r="E635" s="464"/>
      <c r="F635" s="400"/>
      <c r="G635" s="400"/>
      <c r="H635" s="400"/>
      <c r="I635" s="400"/>
      <c r="J635" s="400"/>
      <c r="K635" s="400"/>
      <c r="L635" s="400"/>
      <c r="M635" s="400"/>
      <c r="N635" s="400"/>
    </row>
    <row r="636">
      <c r="A636" s="400"/>
      <c r="B636" s="400"/>
      <c r="C636" s="400"/>
      <c r="D636" s="464"/>
      <c r="E636" s="464"/>
      <c r="F636" s="400"/>
      <c r="G636" s="400"/>
      <c r="H636" s="400"/>
      <c r="I636" s="400"/>
      <c r="J636" s="400"/>
      <c r="K636" s="400"/>
      <c r="L636" s="400"/>
      <c r="M636" s="400"/>
      <c r="N636" s="400"/>
    </row>
    <row r="637">
      <c r="A637" s="400"/>
      <c r="B637" s="400"/>
      <c r="C637" s="400"/>
      <c r="D637" s="464"/>
      <c r="E637" s="464"/>
      <c r="F637" s="400"/>
      <c r="G637" s="400"/>
      <c r="H637" s="400"/>
      <c r="I637" s="400"/>
      <c r="J637" s="400"/>
      <c r="K637" s="400"/>
      <c r="L637" s="400"/>
      <c r="M637" s="400"/>
      <c r="N637" s="400"/>
    </row>
    <row r="638">
      <c r="A638" s="400"/>
      <c r="B638" s="400"/>
      <c r="C638" s="400"/>
      <c r="D638" s="464"/>
      <c r="E638" s="464"/>
      <c r="F638" s="400"/>
      <c r="G638" s="400"/>
      <c r="H638" s="400"/>
      <c r="I638" s="400"/>
      <c r="J638" s="400"/>
      <c r="K638" s="400"/>
      <c r="L638" s="400"/>
      <c r="M638" s="400"/>
      <c r="N638" s="400"/>
    </row>
    <row r="639">
      <c r="A639" s="400"/>
      <c r="B639" s="400"/>
      <c r="C639" s="400"/>
      <c r="D639" s="464"/>
      <c r="E639" s="464"/>
      <c r="F639" s="400"/>
      <c r="G639" s="400"/>
      <c r="H639" s="400"/>
      <c r="I639" s="400"/>
      <c r="J639" s="400"/>
      <c r="K639" s="400"/>
      <c r="L639" s="400"/>
      <c r="M639" s="400"/>
      <c r="N639" s="400"/>
    </row>
    <row r="640">
      <c r="A640" s="400"/>
      <c r="B640" s="400"/>
      <c r="C640" s="400"/>
      <c r="D640" s="464"/>
      <c r="E640" s="464"/>
      <c r="F640" s="400"/>
      <c r="G640" s="400"/>
      <c r="H640" s="400"/>
      <c r="I640" s="400"/>
      <c r="J640" s="400"/>
      <c r="K640" s="400"/>
      <c r="L640" s="400"/>
      <c r="M640" s="400"/>
      <c r="N640" s="400"/>
    </row>
    <row r="641">
      <c r="A641" s="400"/>
      <c r="B641" s="400"/>
      <c r="C641" s="400"/>
      <c r="D641" s="464"/>
      <c r="E641" s="464"/>
      <c r="F641" s="400"/>
      <c r="G641" s="400"/>
      <c r="H641" s="400"/>
      <c r="I641" s="400"/>
      <c r="J641" s="400"/>
      <c r="K641" s="400"/>
      <c r="L641" s="400"/>
      <c r="M641" s="400"/>
      <c r="N641" s="400"/>
    </row>
    <row r="642">
      <c r="A642" s="400"/>
      <c r="B642" s="400"/>
      <c r="C642" s="400"/>
      <c r="D642" s="464"/>
      <c r="E642" s="464"/>
      <c r="F642" s="400"/>
      <c r="G642" s="400"/>
      <c r="H642" s="400"/>
      <c r="I642" s="400"/>
      <c r="J642" s="400"/>
      <c r="K642" s="400"/>
      <c r="L642" s="400"/>
      <c r="M642" s="400"/>
      <c r="N642" s="400"/>
    </row>
    <row r="643">
      <c r="A643" s="400"/>
      <c r="B643" s="400"/>
      <c r="C643" s="400"/>
      <c r="D643" s="464"/>
      <c r="E643" s="464"/>
      <c r="F643" s="400"/>
      <c r="G643" s="400"/>
      <c r="H643" s="400"/>
      <c r="I643" s="400"/>
      <c r="J643" s="400"/>
      <c r="K643" s="400"/>
      <c r="L643" s="400"/>
      <c r="M643" s="400"/>
      <c r="N643" s="400"/>
    </row>
    <row r="644">
      <c r="A644" s="400"/>
      <c r="B644" s="400"/>
      <c r="C644" s="400"/>
      <c r="D644" s="464"/>
      <c r="E644" s="464"/>
      <c r="F644" s="400"/>
      <c r="G644" s="400"/>
      <c r="H644" s="400"/>
      <c r="I644" s="400"/>
      <c r="J644" s="400"/>
      <c r="K644" s="400"/>
      <c r="L644" s="400"/>
      <c r="M644" s="400"/>
      <c r="N644" s="400"/>
    </row>
    <row r="645">
      <c r="A645" s="400"/>
      <c r="B645" s="400"/>
      <c r="C645" s="400"/>
      <c r="D645" s="464"/>
      <c r="E645" s="464"/>
      <c r="F645" s="400"/>
      <c r="G645" s="400"/>
      <c r="H645" s="400"/>
      <c r="I645" s="400"/>
      <c r="J645" s="400"/>
      <c r="K645" s="400"/>
      <c r="L645" s="400"/>
      <c r="M645" s="400"/>
      <c r="N645" s="400"/>
    </row>
    <row r="646">
      <c r="A646" s="400"/>
      <c r="B646" s="400"/>
      <c r="C646" s="400"/>
      <c r="D646" s="464"/>
      <c r="E646" s="464"/>
      <c r="F646" s="400"/>
      <c r="G646" s="400"/>
      <c r="H646" s="400"/>
      <c r="I646" s="400"/>
      <c r="J646" s="400"/>
      <c r="K646" s="400"/>
      <c r="L646" s="400"/>
      <c r="M646" s="400"/>
      <c r="N646" s="400"/>
    </row>
    <row r="647">
      <c r="A647" s="400"/>
      <c r="B647" s="400"/>
      <c r="C647" s="400"/>
      <c r="D647" s="464"/>
      <c r="E647" s="464"/>
      <c r="F647" s="400"/>
      <c r="G647" s="400"/>
      <c r="H647" s="400"/>
      <c r="I647" s="400"/>
      <c r="J647" s="400"/>
      <c r="K647" s="400"/>
      <c r="L647" s="400"/>
      <c r="M647" s="400"/>
      <c r="N647" s="400"/>
    </row>
    <row r="648">
      <c r="A648" s="400"/>
      <c r="B648" s="400"/>
      <c r="C648" s="400"/>
      <c r="D648" s="464"/>
      <c r="E648" s="464"/>
      <c r="F648" s="400"/>
      <c r="G648" s="400"/>
      <c r="H648" s="400"/>
      <c r="I648" s="400"/>
      <c r="J648" s="400"/>
      <c r="K648" s="400"/>
      <c r="L648" s="400"/>
      <c r="M648" s="400"/>
      <c r="N648" s="400"/>
    </row>
    <row r="649">
      <c r="A649" s="400"/>
      <c r="B649" s="400"/>
      <c r="C649" s="400"/>
      <c r="D649" s="464"/>
      <c r="E649" s="464"/>
      <c r="F649" s="400"/>
      <c r="G649" s="400"/>
      <c r="H649" s="400"/>
      <c r="I649" s="400"/>
      <c r="J649" s="400"/>
      <c r="K649" s="400"/>
      <c r="L649" s="400"/>
      <c r="M649" s="400"/>
      <c r="N649" s="400"/>
    </row>
    <row r="650">
      <c r="A650" s="400"/>
      <c r="B650" s="400"/>
      <c r="C650" s="400"/>
      <c r="D650" s="464"/>
      <c r="E650" s="464"/>
      <c r="F650" s="400"/>
      <c r="G650" s="400"/>
      <c r="H650" s="400"/>
      <c r="I650" s="400"/>
      <c r="J650" s="400"/>
      <c r="K650" s="400"/>
      <c r="L650" s="400"/>
      <c r="M650" s="400"/>
      <c r="N650" s="400"/>
    </row>
    <row r="651">
      <c r="A651" s="400"/>
      <c r="B651" s="400"/>
      <c r="C651" s="400"/>
      <c r="D651" s="464"/>
      <c r="E651" s="464"/>
      <c r="F651" s="400"/>
      <c r="G651" s="400"/>
      <c r="H651" s="400"/>
      <c r="I651" s="400"/>
      <c r="J651" s="400"/>
      <c r="K651" s="400"/>
      <c r="L651" s="400"/>
      <c r="M651" s="400"/>
      <c r="N651" s="400"/>
    </row>
    <row r="652">
      <c r="A652" s="400"/>
      <c r="B652" s="400"/>
      <c r="C652" s="400"/>
      <c r="D652" s="464"/>
      <c r="E652" s="464"/>
      <c r="F652" s="400"/>
      <c r="G652" s="400"/>
      <c r="H652" s="400"/>
      <c r="I652" s="400"/>
      <c r="J652" s="400"/>
      <c r="K652" s="400"/>
      <c r="L652" s="400"/>
      <c r="M652" s="400"/>
      <c r="N652" s="400"/>
    </row>
    <row r="653">
      <c r="A653" s="400"/>
      <c r="B653" s="400"/>
      <c r="C653" s="400"/>
      <c r="D653" s="464"/>
      <c r="E653" s="464"/>
      <c r="F653" s="400"/>
      <c r="G653" s="400"/>
      <c r="H653" s="400"/>
      <c r="I653" s="400"/>
      <c r="J653" s="400"/>
      <c r="K653" s="400"/>
      <c r="L653" s="400"/>
      <c r="M653" s="400"/>
      <c r="N653" s="400"/>
    </row>
    <row r="654">
      <c r="A654" s="400"/>
      <c r="B654" s="400"/>
      <c r="C654" s="400"/>
      <c r="D654" s="464"/>
      <c r="E654" s="464"/>
      <c r="F654" s="400"/>
      <c r="G654" s="400"/>
      <c r="H654" s="400"/>
      <c r="I654" s="400"/>
      <c r="J654" s="400"/>
      <c r="K654" s="400"/>
      <c r="L654" s="400"/>
      <c r="M654" s="400"/>
      <c r="N654" s="400"/>
    </row>
    <row r="655">
      <c r="A655" s="400"/>
      <c r="B655" s="400"/>
      <c r="C655" s="400"/>
      <c r="D655" s="464"/>
      <c r="E655" s="464"/>
      <c r="F655" s="400"/>
      <c r="G655" s="400"/>
      <c r="H655" s="400"/>
      <c r="I655" s="400"/>
      <c r="J655" s="400"/>
      <c r="K655" s="400"/>
      <c r="L655" s="400"/>
      <c r="M655" s="400"/>
      <c r="N655" s="400"/>
    </row>
    <row r="656">
      <c r="A656" s="400"/>
      <c r="B656" s="400"/>
      <c r="C656" s="400"/>
      <c r="D656" s="464"/>
      <c r="E656" s="464"/>
      <c r="F656" s="400"/>
      <c r="G656" s="400"/>
      <c r="H656" s="400"/>
      <c r="I656" s="400"/>
      <c r="J656" s="400"/>
      <c r="K656" s="400"/>
      <c r="L656" s="400"/>
      <c r="M656" s="400"/>
      <c r="N656" s="400"/>
    </row>
    <row r="657">
      <c r="A657" s="400"/>
      <c r="B657" s="400"/>
      <c r="C657" s="400"/>
      <c r="D657" s="464"/>
      <c r="E657" s="464"/>
      <c r="F657" s="400"/>
      <c r="G657" s="400"/>
      <c r="H657" s="400"/>
      <c r="I657" s="400"/>
      <c r="J657" s="400"/>
      <c r="K657" s="400"/>
      <c r="L657" s="400"/>
      <c r="M657" s="400"/>
      <c r="N657" s="400"/>
    </row>
    <row r="658">
      <c r="A658" s="400"/>
      <c r="B658" s="400"/>
      <c r="C658" s="400"/>
      <c r="D658" s="464"/>
      <c r="E658" s="464"/>
      <c r="F658" s="400"/>
      <c r="G658" s="400"/>
      <c r="H658" s="400"/>
      <c r="I658" s="400"/>
      <c r="J658" s="400"/>
      <c r="K658" s="400"/>
      <c r="L658" s="400"/>
      <c r="M658" s="400"/>
      <c r="N658" s="400"/>
    </row>
    <row r="659">
      <c r="A659" s="400"/>
      <c r="B659" s="400"/>
      <c r="C659" s="400"/>
      <c r="D659" s="464"/>
      <c r="E659" s="464"/>
      <c r="F659" s="400"/>
      <c r="G659" s="400"/>
      <c r="H659" s="400"/>
      <c r="I659" s="400"/>
      <c r="J659" s="400"/>
      <c r="K659" s="400"/>
      <c r="L659" s="400"/>
      <c r="M659" s="400"/>
      <c r="N659" s="400"/>
    </row>
    <row r="660">
      <c r="A660" s="400"/>
      <c r="B660" s="400"/>
      <c r="C660" s="400"/>
      <c r="D660" s="464"/>
      <c r="E660" s="464"/>
      <c r="F660" s="400"/>
      <c r="G660" s="400"/>
      <c r="H660" s="400"/>
      <c r="I660" s="400"/>
      <c r="J660" s="400"/>
      <c r="K660" s="400"/>
      <c r="L660" s="400"/>
      <c r="M660" s="400"/>
      <c r="N660" s="400"/>
    </row>
    <row r="661">
      <c r="A661" s="400"/>
      <c r="B661" s="400"/>
      <c r="C661" s="400"/>
      <c r="D661" s="464"/>
      <c r="E661" s="464"/>
      <c r="F661" s="400"/>
      <c r="G661" s="400"/>
      <c r="H661" s="400"/>
      <c r="I661" s="400"/>
      <c r="J661" s="400"/>
      <c r="K661" s="400"/>
      <c r="L661" s="400"/>
      <c r="M661" s="400"/>
      <c r="N661" s="400"/>
    </row>
    <row r="662">
      <c r="A662" s="400"/>
      <c r="B662" s="400"/>
      <c r="C662" s="400"/>
      <c r="D662" s="464"/>
      <c r="E662" s="464"/>
      <c r="F662" s="400"/>
      <c r="G662" s="400"/>
      <c r="H662" s="400"/>
      <c r="I662" s="400"/>
      <c r="J662" s="400"/>
      <c r="K662" s="400"/>
      <c r="L662" s="400"/>
      <c r="M662" s="400"/>
      <c r="N662" s="400"/>
    </row>
    <row r="663">
      <c r="A663" s="400"/>
      <c r="B663" s="400"/>
      <c r="C663" s="400"/>
      <c r="D663" s="464"/>
      <c r="E663" s="464"/>
      <c r="F663" s="400"/>
      <c r="G663" s="400"/>
      <c r="H663" s="400"/>
      <c r="I663" s="400"/>
      <c r="J663" s="400"/>
      <c r="K663" s="400"/>
      <c r="L663" s="400"/>
      <c r="M663" s="400"/>
      <c r="N663" s="400"/>
    </row>
    <row r="664">
      <c r="A664" s="400"/>
      <c r="B664" s="400"/>
      <c r="C664" s="400"/>
      <c r="D664" s="464"/>
      <c r="E664" s="464"/>
      <c r="F664" s="400"/>
      <c r="G664" s="400"/>
      <c r="H664" s="400"/>
      <c r="I664" s="400"/>
      <c r="J664" s="400"/>
      <c r="K664" s="400"/>
      <c r="L664" s="400"/>
      <c r="M664" s="400"/>
      <c r="N664" s="400"/>
    </row>
    <row r="665">
      <c r="A665" s="400"/>
      <c r="B665" s="400"/>
      <c r="C665" s="400"/>
      <c r="D665" s="464"/>
      <c r="E665" s="464"/>
      <c r="F665" s="400"/>
      <c r="G665" s="400"/>
      <c r="H665" s="400"/>
      <c r="I665" s="400"/>
      <c r="J665" s="400"/>
      <c r="K665" s="400"/>
      <c r="L665" s="400"/>
      <c r="M665" s="400"/>
      <c r="N665" s="400"/>
    </row>
    <row r="666">
      <c r="A666" s="400"/>
      <c r="B666" s="400"/>
      <c r="C666" s="400"/>
      <c r="D666" s="464"/>
      <c r="E666" s="464"/>
      <c r="F666" s="400"/>
      <c r="G666" s="400"/>
      <c r="H666" s="400"/>
      <c r="I666" s="400"/>
      <c r="J666" s="400"/>
      <c r="K666" s="400"/>
      <c r="L666" s="400"/>
      <c r="M666" s="400"/>
      <c r="N666" s="400"/>
    </row>
    <row r="667">
      <c r="A667" s="400"/>
      <c r="B667" s="400"/>
      <c r="C667" s="400"/>
      <c r="D667" s="464"/>
      <c r="E667" s="464"/>
      <c r="F667" s="400"/>
      <c r="G667" s="400"/>
      <c r="H667" s="400"/>
      <c r="I667" s="400"/>
      <c r="J667" s="400"/>
      <c r="K667" s="400"/>
      <c r="L667" s="400"/>
      <c r="M667" s="400"/>
      <c r="N667" s="400"/>
    </row>
    <row r="668">
      <c r="A668" s="400"/>
      <c r="B668" s="400"/>
      <c r="C668" s="400"/>
      <c r="D668" s="464"/>
      <c r="E668" s="464"/>
      <c r="F668" s="400"/>
      <c r="G668" s="400"/>
      <c r="H668" s="400"/>
      <c r="I668" s="400"/>
      <c r="J668" s="400"/>
      <c r="K668" s="400"/>
      <c r="L668" s="400"/>
      <c r="M668" s="400"/>
      <c r="N668" s="400"/>
    </row>
    <row r="669">
      <c r="A669" s="400"/>
      <c r="B669" s="400"/>
      <c r="C669" s="400"/>
      <c r="D669" s="464"/>
      <c r="E669" s="464"/>
      <c r="F669" s="400"/>
      <c r="G669" s="400"/>
      <c r="H669" s="400"/>
      <c r="I669" s="400"/>
      <c r="J669" s="400"/>
      <c r="K669" s="400"/>
      <c r="L669" s="400"/>
      <c r="M669" s="400"/>
      <c r="N669" s="400"/>
    </row>
    <row r="670">
      <c r="A670" s="400"/>
      <c r="B670" s="400"/>
      <c r="C670" s="400"/>
      <c r="D670" s="464"/>
      <c r="E670" s="464"/>
      <c r="F670" s="400"/>
      <c r="G670" s="400"/>
      <c r="H670" s="400"/>
      <c r="I670" s="400"/>
      <c r="J670" s="400"/>
      <c r="K670" s="400"/>
      <c r="L670" s="400"/>
      <c r="M670" s="400"/>
      <c r="N670" s="400"/>
    </row>
    <row r="671">
      <c r="A671" s="400"/>
      <c r="B671" s="400"/>
      <c r="C671" s="400"/>
      <c r="D671" s="464"/>
      <c r="E671" s="464"/>
      <c r="F671" s="400"/>
      <c r="G671" s="400"/>
      <c r="H671" s="400"/>
      <c r="I671" s="400"/>
      <c r="J671" s="400"/>
      <c r="K671" s="400"/>
      <c r="L671" s="400"/>
      <c r="M671" s="400"/>
      <c r="N671" s="400"/>
    </row>
    <row r="672">
      <c r="A672" s="400"/>
      <c r="B672" s="400"/>
      <c r="C672" s="400"/>
      <c r="D672" s="464"/>
      <c r="E672" s="464"/>
      <c r="F672" s="400"/>
      <c r="G672" s="400"/>
      <c r="H672" s="400"/>
      <c r="I672" s="400"/>
      <c r="J672" s="400"/>
      <c r="K672" s="400"/>
      <c r="L672" s="400"/>
      <c r="M672" s="400"/>
      <c r="N672" s="400"/>
    </row>
    <row r="673">
      <c r="A673" s="400"/>
      <c r="B673" s="400"/>
      <c r="C673" s="400"/>
      <c r="D673" s="464"/>
      <c r="E673" s="464"/>
      <c r="F673" s="400"/>
      <c r="G673" s="400"/>
      <c r="H673" s="400"/>
      <c r="I673" s="400"/>
      <c r="J673" s="400"/>
      <c r="K673" s="400"/>
      <c r="L673" s="400"/>
      <c r="M673" s="400"/>
      <c r="N673" s="400"/>
    </row>
    <row r="674">
      <c r="A674" s="400"/>
      <c r="B674" s="400"/>
      <c r="C674" s="400"/>
      <c r="D674" s="464"/>
      <c r="E674" s="464"/>
      <c r="F674" s="400"/>
      <c r="G674" s="400"/>
      <c r="H674" s="400"/>
      <c r="I674" s="400"/>
      <c r="J674" s="400"/>
      <c r="K674" s="400"/>
      <c r="L674" s="400"/>
      <c r="M674" s="400"/>
      <c r="N674" s="400"/>
    </row>
    <row r="675">
      <c r="A675" s="400"/>
      <c r="B675" s="400"/>
      <c r="C675" s="400"/>
      <c r="D675" s="464"/>
      <c r="E675" s="464"/>
      <c r="F675" s="400"/>
      <c r="G675" s="400"/>
      <c r="H675" s="400"/>
      <c r="I675" s="400"/>
      <c r="J675" s="400"/>
      <c r="K675" s="400"/>
      <c r="L675" s="400"/>
      <c r="M675" s="400"/>
      <c r="N675" s="400"/>
    </row>
    <row r="676">
      <c r="A676" s="400"/>
      <c r="B676" s="400"/>
      <c r="C676" s="400"/>
      <c r="D676" s="464"/>
      <c r="E676" s="464"/>
      <c r="F676" s="400"/>
      <c r="G676" s="400"/>
      <c r="H676" s="400"/>
      <c r="I676" s="400"/>
      <c r="J676" s="400"/>
      <c r="K676" s="400"/>
      <c r="L676" s="400"/>
      <c r="M676" s="400"/>
      <c r="N676" s="400"/>
    </row>
    <row r="677">
      <c r="A677" s="400"/>
      <c r="B677" s="400"/>
      <c r="C677" s="400"/>
      <c r="D677" s="464"/>
      <c r="E677" s="464"/>
      <c r="F677" s="400"/>
      <c r="G677" s="400"/>
      <c r="H677" s="400"/>
      <c r="I677" s="400"/>
      <c r="J677" s="400"/>
      <c r="K677" s="400"/>
      <c r="L677" s="400"/>
      <c r="M677" s="400"/>
      <c r="N677" s="400"/>
    </row>
    <row r="678">
      <c r="A678" s="400"/>
      <c r="B678" s="400"/>
      <c r="C678" s="400"/>
      <c r="D678" s="464"/>
      <c r="E678" s="464"/>
      <c r="F678" s="400"/>
      <c r="G678" s="400"/>
      <c r="H678" s="400"/>
      <c r="I678" s="400"/>
      <c r="J678" s="400"/>
      <c r="K678" s="400"/>
      <c r="L678" s="400"/>
      <c r="M678" s="400"/>
      <c r="N678" s="400"/>
    </row>
    <row r="679">
      <c r="A679" s="400"/>
      <c r="B679" s="400"/>
      <c r="C679" s="400"/>
      <c r="D679" s="464"/>
      <c r="E679" s="464"/>
      <c r="F679" s="400"/>
      <c r="G679" s="400"/>
      <c r="H679" s="400"/>
      <c r="I679" s="400"/>
      <c r="J679" s="400"/>
      <c r="K679" s="400"/>
      <c r="L679" s="400"/>
      <c r="M679" s="400"/>
      <c r="N679" s="400"/>
    </row>
    <row r="680">
      <c r="A680" s="400"/>
      <c r="B680" s="400"/>
      <c r="C680" s="400"/>
      <c r="D680" s="464"/>
      <c r="E680" s="464"/>
      <c r="F680" s="400"/>
      <c r="G680" s="400"/>
      <c r="H680" s="400"/>
      <c r="I680" s="400"/>
      <c r="J680" s="400"/>
      <c r="K680" s="400"/>
      <c r="L680" s="400"/>
      <c r="M680" s="400"/>
      <c r="N680" s="400"/>
    </row>
    <row r="681">
      <c r="A681" s="400"/>
      <c r="B681" s="400"/>
      <c r="C681" s="400"/>
      <c r="D681" s="464"/>
      <c r="E681" s="464"/>
      <c r="F681" s="400"/>
      <c r="G681" s="400"/>
      <c r="H681" s="400"/>
      <c r="I681" s="400"/>
      <c r="J681" s="400"/>
      <c r="K681" s="400"/>
      <c r="L681" s="400"/>
      <c r="M681" s="400"/>
      <c r="N681" s="400"/>
    </row>
    <row r="682">
      <c r="A682" s="400"/>
      <c r="B682" s="400"/>
      <c r="C682" s="400"/>
      <c r="D682" s="464"/>
      <c r="E682" s="464"/>
      <c r="F682" s="400"/>
      <c r="G682" s="400"/>
      <c r="H682" s="400"/>
      <c r="I682" s="400"/>
      <c r="J682" s="400"/>
      <c r="K682" s="400"/>
      <c r="L682" s="400"/>
      <c r="M682" s="400"/>
      <c r="N682" s="400"/>
    </row>
    <row r="683">
      <c r="A683" s="400"/>
      <c r="B683" s="400"/>
      <c r="C683" s="400"/>
      <c r="D683" s="464"/>
      <c r="E683" s="464"/>
      <c r="F683" s="400"/>
      <c r="G683" s="400"/>
      <c r="H683" s="400"/>
      <c r="I683" s="400"/>
      <c r="J683" s="400"/>
      <c r="K683" s="400"/>
      <c r="L683" s="400"/>
      <c r="M683" s="400"/>
      <c r="N683" s="400"/>
    </row>
    <row r="684">
      <c r="A684" s="400"/>
      <c r="B684" s="400"/>
      <c r="C684" s="400"/>
      <c r="D684" s="464"/>
      <c r="E684" s="464"/>
      <c r="F684" s="400"/>
      <c r="G684" s="400"/>
      <c r="H684" s="400"/>
      <c r="I684" s="400"/>
      <c r="J684" s="400"/>
      <c r="K684" s="400"/>
      <c r="L684" s="400"/>
      <c r="M684" s="400"/>
      <c r="N684" s="400"/>
    </row>
    <row r="685">
      <c r="A685" s="400"/>
      <c r="B685" s="400"/>
      <c r="C685" s="400"/>
      <c r="D685" s="464"/>
      <c r="E685" s="464"/>
      <c r="F685" s="400"/>
      <c r="G685" s="400"/>
      <c r="H685" s="400"/>
      <c r="I685" s="400"/>
      <c r="J685" s="400"/>
      <c r="K685" s="400"/>
      <c r="L685" s="400"/>
      <c r="M685" s="400"/>
      <c r="N685" s="400"/>
    </row>
    <row r="686">
      <c r="A686" s="400"/>
      <c r="B686" s="400"/>
      <c r="C686" s="400"/>
      <c r="D686" s="464"/>
      <c r="E686" s="464"/>
      <c r="F686" s="400"/>
      <c r="G686" s="400"/>
      <c r="H686" s="400"/>
      <c r="I686" s="400"/>
      <c r="J686" s="400"/>
      <c r="K686" s="400"/>
      <c r="L686" s="400"/>
      <c r="M686" s="400"/>
      <c r="N686" s="400"/>
    </row>
    <row r="687">
      <c r="A687" s="400"/>
      <c r="B687" s="400"/>
      <c r="C687" s="400"/>
      <c r="D687" s="464"/>
      <c r="E687" s="464"/>
      <c r="F687" s="400"/>
      <c r="G687" s="400"/>
      <c r="H687" s="400"/>
      <c r="I687" s="400"/>
      <c r="J687" s="400"/>
      <c r="K687" s="400"/>
      <c r="L687" s="400"/>
      <c r="M687" s="400"/>
      <c r="N687" s="400"/>
    </row>
    <row r="688">
      <c r="A688" s="400"/>
      <c r="B688" s="400"/>
      <c r="C688" s="400"/>
      <c r="D688" s="464"/>
      <c r="E688" s="464"/>
      <c r="F688" s="400"/>
      <c r="G688" s="400"/>
      <c r="H688" s="400"/>
      <c r="I688" s="400"/>
      <c r="J688" s="400"/>
      <c r="K688" s="400"/>
      <c r="L688" s="400"/>
      <c r="M688" s="400"/>
      <c r="N688" s="400"/>
    </row>
    <row r="689">
      <c r="A689" s="400"/>
      <c r="B689" s="400"/>
      <c r="C689" s="400"/>
      <c r="D689" s="464"/>
      <c r="E689" s="464"/>
      <c r="F689" s="400"/>
      <c r="G689" s="400"/>
      <c r="H689" s="400"/>
      <c r="I689" s="400"/>
      <c r="J689" s="400"/>
      <c r="K689" s="400"/>
      <c r="L689" s="400"/>
      <c r="M689" s="400"/>
      <c r="N689" s="400"/>
    </row>
    <row r="690">
      <c r="A690" s="400"/>
      <c r="B690" s="400"/>
      <c r="C690" s="400"/>
      <c r="D690" s="464"/>
      <c r="E690" s="464"/>
      <c r="F690" s="400"/>
      <c r="G690" s="400"/>
      <c r="H690" s="400"/>
      <c r="I690" s="400"/>
      <c r="J690" s="400"/>
      <c r="K690" s="400"/>
      <c r="L690" s="400"/>
      <c r="M690" s="400"/>
      <c r="N690" s="400"/>
    </row>
    <row r="691">
      <c r="A691" s="400"/>
      <c r="B691" s="400"/>
      <c r="C691" s="400"/>
      <c r="D691" s="464"/>
      <c r="E691" s="464"/>
      <c r="F691" s="400"/>
      <c r="G691" s="400"/>
      <c r="H691" s="400"/>
      <c r="I691" s="400"/>
      <c r="J691" s="400"/>
      <c r="K691" s="400"/>
      <c r="L691" s="400"/>
      <c r="M691" s="400"/>
      <c r="N691" s="400"/>
    </row>
    <row r="692">
      <c r="A692" s="400"/>
      <c r="B692" s="400"/>
      <c r="C692" s="400"/>
      <c r="D692" s="464"/>
      <c r="E692" s="464"/>
      <c r="F692" s="400"/>
      <c r="G692" s="400"/>
      <c r="H692" s="400"/>
      <c r="I692" s="400"/>
      <c r="J692" s="400"/>
      <c r="K692" s="400"/>
      <c r="L692" s="400"/>
      <c r="M692" s="400"/>
      <c r="N692" s="400"/>
    </row>
    <row r="693">
      <c r="A693" s="400"/>
      <c r="B693" s="400"/>
      <c r="C693" s="400"/>
      <c r="D693" s="464"/>
      <c r="E693" s="464"/>
      <c r="F693" s="400"/>
      <c r="G693" s="400"/>
      <c r="H693" s="400"/>
      <c r="I693" s="400"/>
      <c r="J693" s="400"/>
      <c r="K693" s="400"/>
      <c r="L693" s="400"/>
      <c r="M693" s="400"/>
      <c r="N693" s="400"/>
    </row>
    <row r="694">
      <c r="A694" s="400"/>
      <c r="B694" s="400"/>
      <c r="C694" s="400"/>
      <c r="D694" s="464"/>
      <c r="E694" s="464"/>
      <c r="F694" s="400"/>
      <c r="G694" s="400"/>
      <c r="H694" s="400"/>
      <c r="I694" s="400"/>
      <c r="J694" s="400"/>
      <c r="K694" s="400"/>
      <c r="L694" s="400"/>
      <c r="M694" s="400"/>
      <c r="N694" s="400"/>
    </row>
    <row r="695">
      <c r="A695" s="400"/>
      <c r="B695" s="400"/>
      <c r="C695" s="400"/>
      <c r="D695" s="464"/>
      <c r="E695" s="464"/>
      <c r="F695" s="400"/>
      <c r="G695" s="400"/>
      <c r="H695" s="400"/>
      <c r="I695" s="400"/>
      <c r="J695" s="400"/>
      <c r="K695" s="400"/>
      <c r="L695" s="400"/>
      <c r="M695" s="400"/>
      <c r="N695" s="400"/>
    </row>
    <row r="696">
      <c r="A696" s="400"/>
      <c r="B696" s="400"/>
      <c r="C696" s="400"/>
      <c r="D696" s="464"/>
      <c r="E696" s="464"/>
      <c r="F696" s="400"/>
      <c r="G696" s="400"/>
      <c r="H696" s="400"/>
      <c r="I696" s="400"/>
      <c r="J696" s="400"/>
      <c r="K696" s="400"/>
      <c r="L696" s="400"/>
      <c r="M696" s="400"/>
      <c r="N696" s="400"/>
    </row>
    <row r="697">
      <c r="A697" s="400"/>
      <c r="B697" s="400"/>
      <c r="C697" s="400"/>
      <c r="D697" s="464"/>
      <c r="E697" s="464"/>
      <c r="F697" s="400"/>
      <c r="G697" s="400"/>
      <c r="H697" s="400"/>
      <c r="I697" s="400"/>
      <c r="J697" s="400"/>
      <c r="K697" s="400"/>
      <c r="L697" s="400"/>
      <c r="M697" s="400"/>
      <c r="N697" s="400"/>
    </row>
    <row r="698">
      <c r="A698" s="400"/>
      <c r="B698" s="400"/>
      <c r="C698" s="400"/>
      <c r="D698" s="464"/>
      <c r="E698" s="464"/>
      <c r="F698" s="400"/>
      <c r="G698" s="400"/>
      <c r="H698" s="400"/>
      <c r="I698" s="400"/>
      <c r="J698" s="400"/>
      <c r="K698" s="400"/>
      <c r="L698" s="400"/>
      <c r="M698" s="400"/>
      <c r="N698" s="400"/>
    </row>
    <row r="699">
      <c r="A699" s="400"/>
      <c r="B699" s="400"/>
      <c r="C699" s="400"/>
      <c r="D699" s="464"/>
      <c r="E699" s="464"/>
      <c r="F699" s="400"/>
      <c r="G699" s="400"/>
      <c r="H699" s="400"/>
      <c r="I699" s="400"/>
      <c r="J699" s="400"/>
      <c r="K699" s="400"/>
      <c r="L699" s="400"/>
      <c r="M699" s="400"/>
      <c r="N699" s="400"/>
    </row>
    <row r="700">
      <c r="A700" s="400"/>
      <c r="B700" s="400"/>
      <c r="C700" s="400"/>
      <c r="D700" s="464"/>
      <c r="E700" s="464"/>
      <c r="F700" s="400"/>
      <c r="G700" s="400"/>
      <c r="H700" s="400"/>
      <c r="I700" s="400"/>
      <c r="J700" s="400"/>
      <c r="K700" s="400"/>
      <c r="L700" s="400"/>
      <c r="M700" s="400"/>
      <c r="N700" s="400"/>
    </row>
    <row r="701">
      <c r="A701" s="400"/>
      <c r="B701" s="400"/>
      <c r="C701" s="400"/>
      <c r="D701" s="464"/>
      <c r="E701" s="464"/>
      <c r="F701" s="400"/>
      <c r="G701" s="400"/>
      <c r="H701" s="400"/>
      <c r="I701" s="400"/>
      <c r="J701" s="400"/>
      <c r="K701" s="400"/>
      <c r="L701" s="400"/>
      <c r="M701" s="400"/>
      <c r="N701" s="400"/>
    </row>
    <row r="702">
      <c r="A702" s="400"/>
      <c r="B702" s="400"/>
      <c r="C702" s="400"/>
      <c r="D702" s="464"/>
      <c r="E702" s="464"/>
      <c r="F702" s="400"/>
      <c r="G702" s="400"/>
      <c r="H702" s="400"/>
      <c r="I702" s="400"/>
      <c r="J702" s="400"/>
      <c r="K702" s="400"/>
      <c r="L702" s="400"/>
      <c r="M702" s="400"/>
      <c r="N702" s="400"/>
    </row>
    <row r="703">
      <c r="A703" s="400"/>
      <c r="B703" s="400"/>
      <c r="C703" s="400"/>
      <c r="D703" s="464"/>
      <c r="E703" s="464"/>
      <c r="F703" s="400"/>
      <c r="G703" s="400"/>
      <c r="H703" s="400"/>
      <c r="I703" s="400"/>
      <c r="J703" s="400"/>
      <c r="K703" s="400"/>
      <c r="L703" s="400"/>
      <c r="M703" s="400"/>
      <c r="N703" s="400"/>
    </row>
    <row r="704">
      <c r="A704" s="400"/>
      <c r="B704" s="400"/>
      <c r="C704" s="400"/>
      <c r="D704" s="464"/>
      <c r="E704" s="464"/>
      <c r="F704" s="400"/>
      <c r="G704" s="400"/>
      <c r="H704" s="400"/>
      <c r="I704" s="400"/>
      <c r="J704" s="400"/>
      <c r="K704" s="400"/>
      <c r="L704" s="400"/>
      <c r="M704" s="400"/>
      <c r="N704" s="400"/>
    </row>
    <row r="705">
      <c r="A705" s="400"/>
      <c r="B705" s="400"/>
      <c r="C705" s="400"/>
      <c r="D705" s="464"/>
      <c r="E705" s="464"/>
      <c r="F705" s="400"/>
      <c r="G705" s="400"/>
      <c r="H705" s="400"/>
      <c r="I705" s="400"/>
      <c r="J705" s="400"/>
      <c r="K705" s="400"/>
      <c r="L705" s="400"/>
      <c r="M705" s="400"/>
      <c r="N705" s="400"/>
    </row>
    <row r="706">
      <c r="A706" s="400"/>
      <c r="B706" s="400"/>
      <c r="C706" s="400"/>
      <c r="D706" s="464"/>
      <c r="E706" s="464"/>
      <c r="F706" s="400"/>
      <c r="G706" s="400"/>
      <c r="H706" s="400"/>
      <c r="I706" s="400"/>
      <c r="J706" s="400"/>
      <c r="K706" s="400"/>
      <c r="L706" s="400"/>
      <c r="M706" s="400"/>
      <c r="N706" s="400"/>
    </row>
    <row r="707">
      <c r="A707" s="400"/>
      <c r="B707" s="400"/>
      <c r="C707" s="400"/>
      <c r="D707" s="464"/>
      <c r="E707" s="464"/>
      <c r="F707" s="400"/>
      <c r="G707" s="400"/>
      <c r="H707" s="400"/>
      <c r="I707" s="400"/>
      <c r="J707" s="400"/>
      <c r="K707" s="400"/>
      <c r="L707" s="400"/>
      <c r="M707" s="400"/>
      <c r="N707" s="400"/>
    </row>
    <row r="708">
      <c r="A708" s="400"/>
      <c r="B708" s="400"/>
      <c r="C708" s="400"/>
      <c r="D708" s="464"/>
      <c r="E708" s="464"/>
      <c r="F708" s="400"/>
      <c r="G708" s="400"/>
      <c r="H708" s="400"/>
      <c r="I708" s="400"/>
      <c r="J708" s="400"/>
      <c r="K708" s="400"/>
      <c r="L708" s="400"/>
      <c r="M708" s="400"/>
      <c r="N708" s="400"/>
    </row>
    <row r="709">
      <c r="A709" s="400"/>
      <c r="B709" s="400"/>
      <c r="C709" s="400"/>
      <c r="D709" s="464"/>
      <c r="E709" s="464"/>
      <c r="F709" s="400"/>
      <c r="G709" s="400"/>
      <c r="H709" s="400"/>
      <c r="I709" s="400"/>
      <c r="J709" s="400"/>
      <c r="K709" s="400"/>
      <c r="L709" s="400"/>
      <c r="M709" s="400"/>
      <c r="N709" s="400"/>
    </row>
    <row r="710">
      <c r="A710" s="400"/>
      <c r="B710" s="400"/>
      <c r="C710" s="400"/>
      <c r="D710" s="464"/>
      <c r="E710" s="464"/>
      <c r="F710" s="400"/>
      <c r="G710" s="400"/>
      <c r="H710" s="400"/>
      <c r="I710" s="400"/>
      <c r="J710" s="400"/>
      <c r="K710" s="400"/>
      <c r="L710" s="400"/>
      <c r="M710" s="400"/>
      <c r="N710" s="400"/>
    </row>
    <row r="711">
      <c r="A711" s="400"/>
      <c r="B711" s="400"/>
      <c r="C711" s="400"/>
      <c r="D711" s="464"/>
      <c r="E711" s="464"/>
      <c r="F711" s="400"/>
      <c r="G711" s="400"/>
      <c r="H711" s="400"/>
      <c r="I711" s="400"/>
      <c r="J711" s="400"/>
      <c r="K711" s="400"/>
      <c r="L711" s="400"/>
      <c r="M711" s="400"/>
      <c r="N711" s="400"/>
    </row>
    <row r="712">
      <c r="A712" s="400"/>
      <c r="B712" s="400"/>
      <c r="C712" s="400"/>
      <c r="D712" s="464"/>
      <c r="E712" s="464"/>
      <c r="F712" s="400"/>
      <c r="G712" s="400"/>
      <c r="H712" s="400"/>
      <c r="I712" s="400"/>
      <c r="J712" s="400"/>
      <c r="K712" s="400"/>
      <c r="L712" s="400"/>
      <c r="M712" s="400"/>
      <c r="N712" s="400"/>
    </row>
    <row r="713">
      <c r="A713" s="400"/>
      <c r="B713" s="400"/>
      <c r="C713" s="400"/>
      <c r="D713" s="464"/>
      <c r="E713" s="464"/>
      <c r="F713" s="400"/>
      <c r="G713" s="400"/>
      <c r="H713" s="400"/>
      <c r="I713" s="400"/>
      <c r="J713" s="400"/>
      <c r="K713" s="400"/>
      <c r="L713" s="400"/>
      <c r="M713" s="400"/>
      <c r="N713" s="400"/>
    </row>
    <row r="714">
      <c r="A714" s="400"/>
      <c r="B714" s="400"/>
      <c r="C714" s="400"/>
      <c r="D714" s="464"/>
      <c r="E714" s="464"/>
      <c r="F714" s="400"/>
      <c r="G714" s="400"/>
      <c r="H714" s="400"/>
      <c r="I714" s="400"/>
      <c r="J714" s="400"/>
      <c r="K714" s="400"/>
      <c r="L714" s="400"/>
      <c r="M714" s="400"/>
      <c r="N714" s="400"/>
    </row>
    <row r="715">
      <c r="A715" s="400"/>
      <c r="B715" s="400"/>
      <c r="C715" s="400"/>
      <c r="D715" s="464"/>
      <c r="E715" s="464"/>
      <c r="F715" s="400"/>
      <c r="G715" s="400"/>
      <c r="H715" s="400"/>
      <c r="I715" s="400"/>
      <c r="J715" s="400"/>
      <c r="K715" s="400"/>
      <c r="L715" s="400"/>
      <c r="M715" s="400"/>
      <c r="N715" s="400"/>
    </row>
    <row r="716">
      <c r="A716" s="400"/>
      <c r="B716" s="400"/>
      <c r="C716" s="400"/>
      <c r="D716" s="464"/>
      <c r="E716" s="464"/>
      <c r="F716" s="400"/>
      <c r="G716" s="400"/>
      <c r="H716" s="400"/>
      <c r="I716" s="400"/>
      <c r="J716" s="400"/>
      <c r="K716" s="400"/>
      <c r="L716" s="400"/>
      <c r="M716" s="400"/>
      <c r="N716" s="400"/>
    </row>
    <row r="717">
      <c r="A717" s="400"/>
      <c r="B717" s="400"/>
      <c r="C717" s="400"/>
      <c r="D717" s="464"/>
      <c r="E717" s="464"/>
      <c r="F717" s="400"/>
      <c r="G717" s="400"/>
      <c r="H717" s="400"/>
      <c r="I717" s="400"/>
      <c r="J717" s="400"/>
      <c r="K717" s="400"/>
      <c r="L717" s="400"/>
      <c r="M717" s="400"/>
      <c r="N717" s="400"/>
    </row>
    <row r="718">
      <c r="A718" s="400"/>
      <c r="B718" s="400"/>
      <c r="C718" s="400"/>
      <c r="D718" s="464"/>
      <c r="E718" s="464"/>
      <c r="F718" s="400"/>
      <c r="G718" s="400"/>
      <c r="H718" s="400"/>
      <c r="I718" s="400"/>
      <c r="J718" s="400"/>
      <c r="K718" s="400"/>
      <c r="L718" s="400"/>
      <c r="M718" s="400"/>
      <c r="N718" s="400"/>
    </row>
    <row r="719">
      <c r="A719" s="400"/>
      <c r="B719" s="400"/>
      <c r="C719" s="400"/>
      <c r="D719" s="464"/>
      <c r="E719" s="464"/>
      <c r="F719" s="400"/>
      <c r="G719" s="400"/>
      <c r="H719" s="400"/>
      <c r="I719" s="400"/>
      <c r="J719" s="400"/>
      <c r="K719" s="400"/>
      <c r="L719" s="400"/>
      <c r="M719" s="400"/>
      <c r="N719" s="400"/>
    </row>
    <row r="720">
      <c r="A720" s="400"/>
      <c r="B720" s="400"/>
      <c r="C720" s="400"/>
      <c r="D720" s="464"/>
      <c r="E720" s="464"/>
      <c r="F720" s="400"/>
      <c r="G720" s="400"/>
      <c r="H720" s="400"/>
      <c r="I720" s="400"/>
      <c r="J720" s="400"/>
      <c r="K720" s="400"/>
      <c r="L720" s="400"/>
      <c r="M720" s="400"/>
      <c r="N720" s="400"/>
    </row>
    <row r="721">
      <c r="A721" s="400"/>
      <c r="B721" s="400"/>
      <c r="C721" s="400"/>
      <c r="D721" s="464"/>
      <c r="E721" s="464"/>
      <c r="F721" s="400"/>
      <c r="G721" s="400"/>
      <c r="H721" s="400"/>
      <c r="I721" s="400"/>
      <c r="J721" s="400"/>
      <c r="K721" s="400"/>
      <c r="L721" s="400"/>
      <c r="M721" s="400"/>
      <c r="N721" s="400"/>
    </row>
    <row r="722">
      <c r="A722" s="400"/>
      <c r="B722" s="400"/>
      <c r="C722" s="400"/>
      <c r="D722" s="464"/>
      <c r="E722" s="464"/>
      <c r="F722" s="400"/>
      <c r="G722" s="400"/>
      <c r="H722" s="400"/>
      <c r="I722" s="400"/>
      <c r="J722" s="400"/>
      <c r="K722" s="400"/>
      <c r="L722" s="400"/>
      <c r="M722" s="400"/>
      <c r="N722" s="400"/>
    </row>
    <row r="723">
      <c r="A723" s="400"/>
      <c r="B723" s="400"/>
      <c r="C723" s="400"/>
      <c r="D723" s="464"/>
      <c r="E723" s="464"/>
      <c r="F723" s="400"/>
      <c r="G723" s="400"/>
      <c r="H723" s="400"/>
      <c r="I723" s="400"/>
      <c r="J723" s="400"/>
      <c r="K723" s="400"/>
      <c r="L723" s="400"/>
      <c r="M723" s="400"/>
      <c r="N723" s="400"/>
    </row>
    <row r="724">
      <c r="A724" s="400"/>
      <c r="B724" s="400"/>
      <c r="C724" s="400"/>
      <c r="D724" s="464"/>
      <c r="E724" s="464"/>
      <c r="F724" s="400"/>
      <c r="G724" s="400"/>
      <c r="H724" s="400"/>
      <c r="I724" s="400"/>
      <c r="J724" s="400"/>
      <c r="K724" s="400"/>
      <c r="L724" s="400"/>
      <c r="M724" s="400"/>
      <c r="N724" s="400"/>
    </row>
    <row r="725">
      <c r="A725" s="400"/>
      <c r="B725" s="400"/>
      <c r="C725" s="400"/>
      <c r="D725" s="464"/>
      <c r="E725" s="464"/>
      <c r="F725" s="400"/>
      <c r="G725" s="400"/>
      <c r="H725" s="400"/>
      <c r="I725" s="400"/>
      <c r="J725" s="400"/>
      <c r="K725" s="400"/>
      <c r="L725" s="400"/>
      <c r="M725" s="400"/>
      <c r="N725" s="400"/>
    </row>
    <row r="726">
      <c r="A726" s="400"/>
      <c r="B726" s="400"/>
      <c r="C726" s="400"/>
      <c r="D726" s="464"/>
      <c r="E726" s="464"/>
      <c r="F726" s="400"/>
      <c r="G726" s="400"/>
      <c r="H726" s="400"/>
      <c r="I726" s="400"/>
      <c r="J726" s="400"/>
      <c r="K726" s="400"/>
      <c r="L726" s="400"/>
      <c r="M726" s="400"/>
      <c r="N726" s="400"/>
    </row>
    <row r="727">
      <c r="A727" s="400"/>
      <c r="B727" s="400"/>
      <c r="C727" s="400"/>
      <c r="D727" s="464"/>
      <c r="E727" s="464"/>
      <c r="F727" s="400"/>
      <c r="G727" s="400"/>
      <c r="H727" s="400"/>
      <c r="I727" s="400"/>
      <c r="J727" s="400"/>
      <c r="K727" s="400"/>
      <c r="L727" s="400"/>
      <c r="M727" s="400"/>
      <c r="N727" s="400"/>
    </row>
    <row r="728">
      <c r="A728" s="400"/>
      <c r="B728" s="400"/>
      <c r="C728" s="400"/>
      <c r="D728" s="464"/>
      <c r="E728" s="464"/>
      <c r="F728" s="400"/>
      <c r="G728" s="400"/>
      <c r="H728" s="400"/>
      <c r="I728" s="400"/>
      <c r="J728" s="400"/>
      <c r="K728" s="400"/>
      <c r="L728" s="400"/>
      <c r="M728" s="400"/>
      <c r="N728" s="400"/>
    </row>
    <row r="729">
      <c r="A729" s="400"/>
      <c r="B729" s="400"/>
      <c r="C729" s="400"/>
      <c r="D729" s="464"/>
      <c r="E729" s="464"/>
      <c r="F729" s="400"/>
      <c r="G729" s="400"/>
      <c r="H729" s="400"/>
      <c r="I729" s="400"/>
      <c r="J729" s="400"/>
      <c r="K729" s="400"/>
      <c r="L729" s="400"/>
      <c r="M729" s="400"/>
      <c r="N729" s="400"/>
    </row>
    <row r="730">
      <c r="A730" s="400"/>
      <c r="B730" s="400"/>
      <c r="C730" s="400"/>
      <c r="D730" s="464"/>
      <c r="E730" s="464"/>
      <c r="F730" s="400"/>
      <c r="G730" s="400"/>
      <c r="H730" s="400"/>
      <c r="I730" s="400"/>
      <c r="J730" s="400"/>
      <c r="K730" s="400"/>
      <c r="L730" s="400"/>
      <c r="M730" s="400"/>
      <c r="N730" s="400"/>
    </row>
    <row r="731">
      <c r="A731" s="400"/>
      <c r="B731" s="400"/>
      <c r="C731" s="400"/>
      <c r="D731" s="464"/>
      <c r="E731" s="464"/>
      <c r="F731" s="400"/>
      <c r="G731" s="400"/>
      <c r="H731" s="400"/>
      <c r="I731" s="400"/>
      <c r="J731" s="400"/>
      <c r="K731" s="400"/>
      <c r="L731" s="400"/>
      <c r="M731" s="400"/>
      <c r="N731" s="400"/>
    </row>
    <row r="732">
      <c r="A732" s="400"/>
      <c r="B732" s="400"/>
      <c r="C732" s="400"/>
      <c r="D732" s="464"/>
      <c r="E732" s="464"/>
      <c r="F732" s="400"/>
      <c r="G732" s="400"/>
      <c r="H732" s="400"/>
      <c r="I732" s="400"/>
      <c r="J732" s="400"/>
      <c r="K732" s="400"/>
      <c r="L732" s="400"/>
      <c r="M732" s="400"/>
      <c r="N732" s="400"/>
    </row>
    <row r="733">
      <c r="A733" s="400"/>
      <c r="B733" s="400"/>
      <c r="C733" s="400"/>
      <c r="D733" s="464"/>
      <c r="E733" s="464"/>
      <c r="F733" s="400"/>
      <c r="G733" s="400"/>
      <c r="H733" s="400"/>
      <c r="I733" s="400"/>
      <c r="J733" s="400"/>
      <c r="K733" s="400"/>
      <c r="L733" s="400"/>
      <c r="M733" s="400"/>
      <c r="N733" s="400"/>
    </row>
    <row r="734">
      <c r="A734" s="400"/>
      <c r="B734" s="400"/>
      <c r="C734" s="400"/>
      <c r="D734" s="464"/>
      <c r="E734" s="464"/>
      <c r="F734" s="400"/>
      <c r="G734" s="400"/>
      <c r="H734" s="400"/>
      <c r="I734" s="400"/>
      <c r="J734" s="400"/>
      <c r="K734" s="400"/>
      <c r="L734" s="400"/>
      <c r="M734" s="400"/>
      <c r="N734" s="400"/>
    </row>
    <row r="735">
      <c r="A735" s="400"/>
      <c r="B735" s="400"/>
      <c r="C735" s="400"/>
      <c r="D735" s="464"/>
      <c r="E735" s="464"/>
      <c r="F735" s="400"/>
      <c r="G735" s="400"/>
      <c r="H735" s="400"/>
      <c r="I735" s="400"/>
      <c r="J735" s="400"/>
      <c r="K735" s="400"/>
      <c r="L735" s="400"/>
      <c r="M735" s="400"/>
      <c r="N735" s="400"/>
    </row>
    <row r="736">
      <c r="A736" s="400"/>
      <c r="B736" s="400"/>
      <c r="C736" s="400"/>
      <c r="D736" s="464"/>
      <c r="E736" s="464"/>
      <c r="F736" s="400"/>
      <c r="G736" s="400"/>
      <c r="H736" s="400"/>
      <c r="I736" s="400"/>
      <c r="J736" s="400"/>
      <c r="K736" s="400"/>
      <c r="L736" s="400"/>
      <c r="M736" s="400"/>
      <c r="N736" s="400"/>
    </row>
    <row r="737">
      <c r="A737" s="400"/>
      <c r="B737" s="400"/>
      <c r="C737" s="400"/>
      <c r="D737" s="464"/>
      <c r="E737" s="464"/>
      <c r="F737" s="400"/>
      <c r="G737" s="400"/>
      <c r="H737" s="400"/>
      <c r="I737" s="400"/>
      <c r="J737" s="400"/>
      <c r="K737" s="400"/>
      <c r="L737" s="400"/>
      <c r="M737" s="400"/>
      <c r="N737" s="400"/>
    </row>
    <row r="738">
      <c r="A738" s="400"/>
      <c r="B738" s="400"/>
      <c r="C738" s="400"/>
      <c r="D738" s="464"/>
      <c r="E738" s="464"/>
      <c r="F738" s="400"/>
      <c r="G738" s="400"/>
      <c r="H738" s="400"/>
      <c r="I738" s="400"/>
      <c r="J738" s="400"/>
      <c r="K738" s="400"/>
      <c r="L738" s="400"/>
      <c r="M738" s="400"/>
      <c r="N738" s="400"/>
    </row>
    <row r="739">
      <c r="A739" s="400"/>
      <c r="B739" s="400"/>
      <c r="C739" s="400"/>
      <c r="D739" s="464"/>
      <c r="E739" s="464"/>
      <c r="F739" s="400"/>
      <c r="G739" s="400"/>
      <c r="H739" s="400"/>
      <c r="I739" s="400"/>
      <c r="J739" s="400"/>
      <c r="K739" s="400"/>
      <c r="L739" s="400"/>
      <c r="M739" s="400"/>
      <c r="N739" s="400"/>
    </row>
    <row r="740">
      <c r="A740" s="400"/>
      <c r="B740" s="400"/>
      <c r="C740" s="400"/>
      <c r="D740" s="464"/>
      <c r="E740" s="464"/>
      <c r="F740" s="400"/>
      <c r="G740" s="400"/>
      <c r="H740" s="400"/>
      <c r="I740" s="400"/>
      <c r="J740" s="400"/>
      <c r="K740" s="400"/>
      <c r="L740" s="400"/>
      <c r="M740" s="400"/>
      <c r="N740" s="400"/>
    </row>
    <row r="741">
      <c r="A741" s="400"/>
      <c r="B741" s="400"/>
      <c r="C741" s="400"/>
      <c r="D741" s="464"/>
      <c r="E741" s="464"/>
      <c r="F741" s="400"/>
      <c r="G741" s="400"/>
      <c r="H741" s="400"/>
      <c r="I741" s="400"/>
      <c r="J741" s="400"/>
      <c r="K741" s="400"/>
      <c r="L741" s="400"/>
      <c r="M741" s="400"/>
      <c r="N741" s="400"/>
    </row>
    <row r="742">
      <c r="A742" s="400"/>
      <c r="B742" s="400"/>
      <c r="C742" s="400"/>
      <c r="D742" s="464"/>
      <c r="E742" s="464"/>
      <c r="F742" s="400"/>
      <c r="G742" s="400"/>
      <c r="H742" s="400"/>
      <c r="I742" s="400"/>
      <c r="J742" s="400"/>
      <c r="K742" s="400"/>
      <c r="L742" s="400"/>
      <c r="M742" s="400"/>
      <c r="N742" s="400"/>
    </row>
    <row r="743">
      <c r="A743" s="400"/>
      <c r="B743" s="400"/>
      <c r="C743" s="400"/>
      <c r="D743" s="464"/>
      <c r="E743" s="464"/>
      <c r="F743" s="400"/>
      <c r="G743" s="400"/>
      <c r="H743" s="400"/>
      <c r="I743" s="400"/>
      <c r="J743" s="400"/>
      <c r="K743" s="400"/>
      <c r="L743" s="400"/>
      <c r="M743" s="400"/>
      <c r="N743" s="400"/>
    </row>
    <row r="744">
      <c r="A744" s="400"/>
      <c r="B744" s="400"/>
      <c r="C744" s="400"/>
      <c r="D744" s="464"/>
      <c r="E744" s="464"/>
      <c r="F744" s="400"/>
      <c r="G744" s="400"/>
      <c r="H744" s="400"/>
      <c r="I744" s="400"/>
      <c r="J744" s="400"/>
      <c r="K744" s="400"/>
      <c r="L744" s="400"/>
      <c r="M744" s="400"/>
      <c r="N744" s="400"/>
    </row>
    <row r="745">
      <c r="A745" s="400"/>
      <c r="B745" s="400"/>
      <c r="C745" s="400"/>
      <c r="D745" s="464"/>
      <c r="E745" s="464"/>
      <c r="F745" s="400"/>
      <c r="G745" s="400"/>
      <c r="H745" s="400"/>
      <c r="I745" s="400"/>
      <c r="J745" s="400"/>
      <c r="K745" s="400"/>
      <c r="L745" s="400"/>
      <c r="M745" s="400"/>
      <c r="N745" s="400"/>
    </row>
    <row r="746">
      <c r="A746" s="400"/>
      <c r="B746" s="400"/>
      <c r="C746" s="400"/>
      <c r="D746" s="464"/>
      <c r="E746" s="464"/>
      <c r="F746" s="400"/>
      <c r="G746" s="400"/>
      <c r="H746" s="400"/>
      <c r="I746" s="400"/>
      <c r="J746" s="400"/>
      <c r="K746" s="400"/>
      <c r="L746" s="400"/>
      <c r="M746" s="400"/>
      <c r="N746" s="400"/>
    </row>
    <row r="747">
      <c r="A747" s="400"/>
      <c r="B747" s="400"/>
      <c r="C747" s="400"/>
      <c r="D747" s="464"/>
      <c r="E747" s="464"/>
      <c r="F747" s="400"/>
      <c r="G747" s="400"/>
      <c r="H747" s="400"/>
      <c r="I747" s="400"/>
      <c r="J747" s="400"/>
      <c r="K747" s="400"/>
      <c r="L747" s="400"/>
      <c r="M747" s="400"/>
      <c r="N747" s="400"/>
    </row>
    <row r="748">
      <c r="A748" s="400"/>
      <c r="B748" s="400"/>
      <c r="C748" s="400"/>
      <c r="D748" s="464"/>
      <c r="E748" s="464"/>
      <c r="F748" s="400"/>
      <c r="G748" s="400"/>
      <c r="H748" s="400"/>
      <c r="I748" s="400"/>
      <c r="J748" s="400"/>
      <c r="K748" s="400"/>
      <c r="L748" s="400"/>
      <c r="M748" s="400"/>
      <c r="N748" s="400"/>
    </row>
    <row r="749">
      <c r="A749" s="400"/>
      <c r="B749" s="400"/>
      <c r="C749" s="400"/>
      <c r="D749" s="464"/>
      <c r="E749" s="464"/>
      <c r="F749" s="400"/>
      <c r="G749" s="400"/>
      <c r="H749" s="400"/>
      <c r="I749" s="400"/>
      <c r="J749" s="400"/>
      <c r="K749" s="400"/>
      <c r="L749" s="400"/>
      <c r="M749" s="400"/>
      <c r="N749" s="400"/>
    </row>
    <row r="750">
      <c r="A750" s="400"/>
      <c r="B750" s="400"/>
      <c r="C750" s="400"/>
      <c r="D750" s="464"/>
      <c r="E750" s="464"/>
      <c r="F750" s="400"/>
      <c r="G750" s="400"/>
      <c r="H750" s="400"/>
      <c r="I750" s="400"/>
      <c r="J750" s="400"/>
      <c r="K750" s="400"/>
      <c r="L750" s="400"/>
      <c r="M750" s="400"/>
      <c r="N750" s="400"/>
    </row>
    <row r="751">
      <c r="A751" s="400"/>
      <c r="B751" s="400"/>
      <c r="C751" s="400"/>
      <c r="D751" s="464"/>
      <c r="E751" s="464"/>
      <c r="F751" s="400"/>
      <c r="G751" s="400"/>
      <c r="H751" s="400"/>
      <c r="I751" s="400"/>
      <c r="J751" s="400"/>
      <c r="K751" s="400"/>
      <c r="L751" s="400"/>
      <c r="M751" s="400"/>
      <c r="N751" s="400"/>
    </row>
    <row r="752">
      <c r="A752" s="400"/>
      <c r="B752" s="400"/>
      <c r="C752" s="400"/>
      <c r="D752" s="464"/>
      <c r="E752" s="464"/>
      <c r="F752" s="400"/>
      <c r="G752" s="400"/>
      <c r="H752" s="400"/>
      <c r="I752" s="400"/>
      <c r="J752" s="400"/>
      <c r="K752" s="400"/>
      <c r="L752" s="400"/>
      <c r="M752" s="400"/>
      <c r="N752" s="400"/>
    </row>
    <row r="753">
      <c r="A753" s="400"/>
      <c r="B753" s="400"/>
      <c r="C753" s="400"/>
      <c r="D753" s="464"/>
      <c r="E753" s="464"/>
      <c r="F753" s="400"/>
      <c r="G753" s="400"/>
      <c r="H753" s="400"/>
      <c r="I753" s="400"/>
      <c r="J753" s="400"/>
      <c r="K753" s="400"/>
      <c r="L753" s="400"/>
      <c r="M753" s="400"/>
      <c r="N753" s="400"/>
    </row>
    <row r="754">
      <c r="A754" s="400"/>
      <c r="B754" s="400"/>
      <c r="C754" s="400"/>
      <c r="D754" s="464"/>
      <c r="E754" s="464"/>
      <c r="F754" s="400"/>
      <c r="G754" s="400"/>
      <c r="H754" s="400"/>
      <c r="I754" s="400"/>
      <c r="J754" s="400"/>
      <c r="K754" s="400"/>
      <c r="L754" s="400"/>
      <c r="M754" s="400"/>
      <c r="N754" s="400"/>
    </row>
    <row r="755">
      <c r="A755" s="400"/>
      <c r="B755" s="400"/>
      <c r="C755" s="400"/>
      <c r="D755" s="464"/>
      <c r="E755" s="464"/>
      <c r="F755" s="400"/>
      <c r="G755" s="400"/>
      <c r="H755" s="400"/>
      <c r="I755" s="400"/>
      <c r="J755" s="400"/>
      <c r="K755" s="400"/>
      <c r="L755" s="400"/>
      <c r="M755" s="400"/>
      <c r="N755" s="400"/>
    </row>
    <row r="756">
      <c r="A756" s="400"/>
      <c r="B756" s="400"/>
      <c r="C756" s="400"/>
      <c r="D756" s="464"/>
      <c r="E756" s="464"/>
      <c r="F756" s="400"/>
      <c r="G756" s="400"/>
      <c r="H756" s="400"/>
      <c r="I756" s="400"/>
      <c r="J756" s="400"/>
      <c r="K756" s="400"/>
      <c r="L756" s="400"/>
      <c r="M756" s="400"/>
      <c r="N756" s="400"/>
    </row>
    <row r="757">
      <c r="A757" s="400"/>
      <c r="B757" s="400"/>
      <c r="C757" s="400"/>
      <c r="D757" s="464"/>
      <c r="E757" s="464"/>
      <c r="F757" s="400"/>
      <c r="G757" s="400"/>
      <c r="H757" s="400"/>
      <c r="I757" s="400"/>
      <c r="J757" s="400"/>
      <c r="K757" s="400"/>
      <c r="L757" s="400"/>
      <c r="M757" s="400"/>
      <c r="N757" s="400"/>
    </row>
    <row r="758">
      <c r="A758" s="400"/>
      <c r="B758" s="400"/>
      <c r="C758" s="400"/>
      <c r="D758" s="464"/>
      <c r="E758" s="464"/>
      <c r="F758" s="400"/>
      <c r="G758" s="400"/>
      <c r="H758" s="400"/>
      <c r="I758" s="400"/>
      <c r="J758" s="400"/>
      <c r="K758" s="400"/>
      <c r="L758" s="400"/>
      <c r="M758" s="400"/>
      <c r="N758" s="400"/>
    </row>
    <row r="759">
      <c r="A759" s="400"/>
      <c r="B759" s="400"/>
      <c r="C759" s="400"/>
      <c r="D759" s="464"/>
      <c r="E759" s="464"/>
      <c r="F759" s="400"/>
      <c r="G759" s="400"/>
      <c r="H759" s="400"/>
      <c r="I759" s="400"/>
      <c r="J759" s="400"/>
      <c r="K759" s="400"/>
      <c r="L759" s="400"/>
      <c r="M759" s="400"/>
      <c r="N759" s="400"/>
    </row>
    <row r="760">
      <c r="A760" s="400"/>
      <c r="B760" s="400"/>
      <c r="C760" s="400"/>
      <c r="D760" s="464"/>
      <c r="E760" s="464"/>
      <c r="F760" s="400"/>
      <c r="G760" s="400"/>
      <c r="H760" s="400"/>
      <c r="I760" s="400"/>
      <c r="J760" s="400"/>
      <c r="K760" s="400"/>
      <c r="L760" s="400"/>
      <c r="M760" s="400"/>
      <c r="N760" s="400"/>
    </row>
    <row r="761">
      <c r="A761" s="400"/>
      <c r="B761" s="400"/>
      <c r="C761" s="400"/>
      <c r="D761" s="464"/>
      <c r="E761" s="464"/>
      <c r="F761" s="400"/>
      <c r="G761" s="400"/>
      <c r="H761" s="400"/>
      <c r="I761" s="400"/>
      <c r="J761" s="400"/>
      <c r="K761" s="400"/>
      <c r="L761" s="400"/>
      <c r="M761" s="400"/>
      <c r="N761" s="400"/>
    </row>
    <row r="762">
      <c r="A762" s="400"/>
      <c r="B762" s="400"/>
      <c r="C762" s="400"/>
      <c r="D762" s="464"/>
      <c r="E762" s="464"/>
      <c r="F762" s="400"/>
      <c r="G762" s="400"/>
      <c r="H762" s="400"/>
      <c r="I762" s="400"/>
      <c r="J762" s="400"/>
      <c r="K762" s="400"/>
      <c r="L762" s="400"/>
      <c r="M762" s="400"/>
      <c r="N762" s="400"/>
    </row>
    <row r="763">
      <c r="A763" s="400"/>
      <c r="B763" s="400"/>
      <c r="C763" s="400"/>
      <c r="D763" s="464"/>
      <c r="E763" s="464"/>
      <c r="F763" s="400"/>
      <c r="G763" s="400"/>
      <c r="H763" s="400"/>
      <c r="I763" s="400"/>
      <c r="J763" s="400"/>
      <c r="K763" s="400"/>
      <c r="L763" s="400"/>
      <c r="M763" s="400"/>
      <c r="N763" s="400"/>
    </row>
    <row r="764">
      <c r="A764" s="400"/>
      <c r="B764" s="400"/>
      <c r="C764" s="400"/>
      <c r="D764" s="464"/>
      <c r="E764" s="464"/>
      <c r="F764" s="400"/>
      <c r="G764" s="400"/>
      <c r="H764" s="400"/>
      <c r="I764" s="400"/>
      <c r="J764" s="400"/>
      <c r="K764" s="400"/>
      <c r="L764" s="400"/>
      <c r="M764" s="400"/>
      <c r="N764" s="400"/>
    </row>
    <row r="765">
      <c r="A765" s="400"/>
      <c r="B765" s="400"/>
      <c r="C765" s="400"/>
      <c r="D765" s="464"/>
      <c r="E765" s="464"/>
      <c r="F765" s="400"/>
      <c r="G765" s="400"/>
      <c r="H765" s="400"/>
      <c r="I765" s="400"/>
      <c r="J765" s="400"/>
      <c r="K765" s="400"/>
      <c r="L765" s="400"/>
      <c r="M765" s="400"/>
      <c r="N765" s="400"/>
    </row>
    <row r="766">
      <c r="A766" s="400"/>
      <c r="B766" s="400"/>
      <c r="C766" s="400"/>
      <c r="D766" s="464"/>
      <c r="E766" s="464"/>
      <c r="F766" s="400"/>
      <c r="G766" s="400"/>
      <c r="H766" s="400"/>
      <c r="I766" s="400"/>
      <c r="J766" s="400"/>
      <c r="K766" s="400"/>
      <c r="L766" s="400"/>
      <c r="M766" s="400"/>
      <c r="N766" s="400"/>
    </row>
    <row r="767">
      <c r="A767" s="400"/>
      <c r="B767" s="400"/>
      <c r="C767" s="400"/>
      <c r="D767" s="464"/>
      <c r="E767" s="464"/>
      <c r="F767" s="400"/>
      <c r="G767" s="400"/>
      <c r="H767" s="400"/>
      <c r="I767" s="400"/>
      <c r="J767" s="400"/>
      <c r="K767" s="400"/>
      <c r="L767" s="400"/>
      <c r="M767" s="400"/>
      <c r="N767" s="400"/>
    </row>
    <row r="768">
      <c r="A768" s="400"/>
      <c r="B768" s="400"/>
      <c r="C768" s="400"/>
      <c r="D768" s="464"/>
      <c r="E768" s="464"/>
      <c r="F768" s="400"/>
      <c r="G768" s="400"/>
      <c r="H768" s="400"/>
      <c r="I768" s="400"/>
      <c r="J768" s="400"/>
      <c r="K768" s="400"/>
      <c r="L768" s="400"/>
      <c r="M768" s="400"/>
      <c r="N768" s="400"/>
    </row>
    <row r="769">
      <c r="A769" s="400"/>
      <c r="B769" s="400"/>
      <c r="C769" s="400"/>
      <c r="D769" s="464"/>
      <c r="E769" s="464"/>
      <c r="F769" s="400"/>
      <c r="G769" s="400"/>
      <c r="H769" s="400"/>
      <c r="I769" s="400"/>
      <c r="J769" s="400"/>
      <c r="K769" s="400"/>
      <c r="L769" s="400"/>
      <c r="M769" s="400"/>
      <c r="N769" s="400"/>
    </row>
    <row r="770">
      <c r="A770" s="400"/>
      <c r="B770" s="400"/>
      <c r="C770" s="400"/>
      <c r="D770" s="464"/>
      <c r="E770" s="464"/>
      <c r="F770" s="400"/>
      <c r="G770" s="400"/>
      <c r="H770" s="400"/>
      <c r="I770" s="400"/>
      <c r="J770" s="400"/>
      <c r="K770" s="400"/>
      <c r="L770" s="400"/>
      <c r="M770" s="400"/>
      <c r="N770" s="400"/>
    </row>
    <row r="771">
      <c r="A771" s="400"/>
      <c r="B771" s="400"/>
      <c r="C771" s="400"/>
      <c r="D771" s="464"/>
      <c r="E771" s="464"/>
      <c r="F771" s="400"/>
      <c r="G771" s="400"/>
      <c r="H771" s="400"/>
      <c r="I771" s="400"/>
      <c r="J771" s="400"/>
      <c r="K771" s="400"/>
      <c r="L771" s="400"/>
      <c r="M771" s="400"/>
      <c r="N771" s="400"/>
    </row>
    <row r="772">
      <c r="A772" s="400"/>
      <c r="B772" s="400"/>
      <c r="C772" s="400"/>
      <c r="D772" s="464"/>
      <c r="E772" s="464"/>
      <c r="F772" s="400"/>
      <c r="G772" s="400"/>
      <c r="H772" s="400"/>
      <c r="I772" s="400"/>
      <c r="J772" s="400"/>
      <c r="K772" s="400"/>
      <c r="L772" s="400"/>
      <c r="M772" s="400"/>
      <c r="N772" s="400"/>
    </row>
    <row r="773">
      <c r="A773" s="400"/>
      <c r="B773" s="400"/>
      <c r="C773" s="400"/>
      <c r="D773" s="464"/>
      <c r="E773" s="464"/>
      <c r="F773" s="400"/>
      <c r="G773" s="400"/>
      <c r="H773" s="400"/>
      <c r="I773" s="400"/>
      <c r="J773" s="400"/>
      <c r="K773" s="400"/>
      <c r="L773" s="400"/>
      <c r="M773" s="400"/>
      <c r="N773" s="400"/>
    </row>
    <row r="774">
      <c r="A774" s="400"/>
      <c r="B774" s="400"/>
      <c r="C774" s="400"/>
      <c r="D774" s="464"/>
      <c r="E774" s="464"/>
      <c r="F774" s="400"/>
      <c r="G774" s="400"/>
      <c r="H774" s="400"/>
      <c r="I774" s="400"/>
      <c r="J774" s="400"/>
      <c r="K774" s="400"/>
      <c r="L774" s="400"/>
      <c r="M774" s="400"/>
      <c r="N774" s="400"/>
    </row>
    <row r="775">
      <c r="A775" s="400"/>
      <c r="B775" s="400"/>
      <c r="C775" s="400"/>
      <c r="D775" s="464"/>
      <c r="E775" s="464"/>
      <c r="F775" s="400"/>
      <c r="G775" s="400"/>
      <c r="H775" s="400"/>
      <c r="I775" s="400"/>
      <c r="J775" s="400"/>
      <c r="K775" s="400"/>
      <c r="L775" s="400"/>
      <c r="M775" s="400"/>
      <c r="N775" s="400"/>
    </row>
    <row r="776">
      <c r="A776" s="400"/>
      <c r="B776" s="400"/>
      <c r="C776" s="400"/>
      <c r="D776" s="464"/>
      <c r="E776" s="464"/>
      <c r="F776" s="400"/>
      <c r="G776" s="400"/>
      <c r="H776" s="400"/>
      <c r="I776" s="400"/>
      <c r="J776" s="400"/>
      <c r="K776" s="400"/>
      <c r="L776" s="400"/>
      <c r="M776" s="400"/>
      <c r="N776" s="400"/>
    </row>
    <row r="777">
      <c r="A777" s="400"/>
      <c r="B777" s="400"/>
      <c r="C777" s="400"/>
      <c r="D777" s="464"/>
      <c r="E777" s="464"/>
      <c r="F777" s="400"/>
      <c r="G777" s="400"/>
      <c r="H777" s="400"/>
      <c r="I777" s="400"/>
      <c r="J777" s="400"/>
      <c r="K777" s="400"/>
      <c r="L777" s="400"/>
      <c r="M777" s="400"/>
      <c r="N777" s="400"/>
    </row>
    <row r="778">
      <c r="A778" s="400"/>
      <c r="B778" s="400"/>
      <c r="C778" s="400"/>
      <c r="D778" s="464"/>
      <c r="E778" s="464"/>
      <c r="F778" s="400"/>
      <c r="G778" s="400"/>
      <c r="H778" s="400"/>
      <c r="I778" s="400"/>
      <c r="J778" s="400"/>
      <c r="K778" s="400"/>
      <c r="L778" s="400"/>
      <c r="M778" s="400"/>
      <c r="N778" s="400"/>
    </row>
    <row r="779">
      <c r="A779" s="400"/>
      <c r="B779" s="400"/>
      <c r="C779" s="400"/>
      <c r="D779" s="464"/>
      <c r="E779" s="464"/>
      <c r="F779" s="400"/>
      <c r="G779" s="400"/>
      <c r="H779" s="400"/>
      <c r="I779" s="400"/>
      <c r="J779" s="400"/>
      <c r="K779" s="400"/>
      <c r="L779" s="400"/>
      <c r="M779" s="400"/>
      <c r="N779" s="400"/>
    </row>
    <row r="780">
      <c r="A780" s="400"/>
      <c r="B780" s="400"/>
      <c r="C780" s="400"/>
      <c r="D780" s="464"/>
      <c r="E780" s="464"/>
      <c r="F780" s="400"/>
      <c r="G780" s="400"/>
      <c r="H780" s="400"/>
      <c r="I780" s="400"/>
      <c r="J780" s="400"/>
      <c r="K780" s="400"/>
      <c r="L780" s="400"/>
      <c r="M780" s="400"/>
      <c r="N780" s="400"/>
    </row>
    <row r="781">
      <c r="A781" s="400"/>
      <c r="B781" s="400"/>
      <c r="C781" s="400"/>
      <c r="D781" s="464"/>
      <c r="E781" s="464"/>
      <c r="F781" s="400"/>
      <c r="G781" s="400"/>
      <c r="H781" s="400"/>
      <c r="I781" s="400"/>
      <c r="J781" s="400"/>
      <c r="K781" s="400"/>
      <c r="L781" s="400"/>
      <c r="M781" s="400"/>
      <c r="N781" s="400"/>
    </row>
    <row r="782">
      <c r="A782" s="400"/>
      <c r="B782" s="400"/>
      <c r="C782" s="400"/>
      <c r="D782" s="464"/>
      <c r="E782" s="464"/>
      <c r="F782" s="400"/>
      <c r="G782" s="400"/>
      <c r="H782" s="400"/>
      <c r="I782" s="400"/>
      <c r="J782" s="400"/>
      <c r="K782" s="400"/>
      <c r="L782" s="400"/>
      <c r="M782" s="400"/>
      <c r="N782" s="400"/>
    </row>
    <row r="783">
      <c r="A783" s="400"/>
      <c r="B783" s="400"/>
      <c r="C783" s="400"/>
      <c r="D783" s="464"/>
      <c r="E783" s="464"/>
      <c r="F783" s="400"/>
      <c r="G783" s="400"/>
      <c r="H783" s="400"/>
      <c r="I783" s="400"/>
      <c r="J783" s="400"/>
      <c r="K783" s="400"/>
      <c r="L783" s="400"/>
      <c r="M783" s="400"/>
      <c r="N783" s="400"/>
    </row>
    <row r="784">
      <c r="A784" s="400"/>
      <c r="B784" s="400"/>
      <c r="C784" s="400"/>
      <c r="D784" s="464"/>
      <c r="E784" s="464"/>
      <c r="F784" s="400"/>
      <c r="G784" s="400"/>
      <c r="H784" s="400"/>
      <c r="I784" s="400"/>
      <c r="J784" s="400"/>
      <c r="K784" s="400"/>
      <c r="L784" s="400"/>
      <c r="M784" s="400"/>
      <c r="N784" s="400"/>
    </row>
    <row r="785">
      <c r="A785" s="400"/>
      <c r="B785" s="400"/>
      <c r="C785" s="400"/>
      <c r="D785" s="464"/>
      <c r="E785" s="464"/>
      <c r="F785" s="400"/>
      <c r="G785" s="400"/>
      <c r="H785" s="400"/>
      <c r="I785" s="400"/>
      <c r="J785" s="400"/>
      <c r="K785" s="400"/>
      <c r="L785" s="400"/>
      <c r="M785" s="400"/>
      <c r="N785" s="400"/>
    </row>
    <row r="786">
      <c r="A786" s="400"/>
      <c r="B786" s="400"/>
      <c r="C786" s="400"/>
      <c r="D786" s="464"/>
      <c r="E786" s="464"/>
      <c r="F786" s="400"/>
      <c r="G786" s="400"/>
      <c r="H786" s="400"/>
      <c r="I786" s="400"/>
      <c r="J786" s="400"/>
      <c r="K786" s="400"/>
      <c r="L786" s="400"/>
      <c r="M786" s="400"/>
      <c r="N786" s="400"/>
    </row>
    <row r="787">
      <c r="A787" s="400"/>
      <c r="B787" s="400"/>
      <c r="C787" s="400"/>
      <c r="D787" s="464"/>
      <c r="E787" s="464"/>
      <c r="F787" s="400"/>
      <c r="G787" s="400"/>
      <c r="H787" s="400"/>
      <c r="I787" s="400"/>
      <c r="J787" s="400"/>
      <c r="K787" s="400"/>
      <c r="L787" s="400"/>
      <c r="M787" s="400"/>
      <c r="N787" s="400"/>
    </row>
    <row r="788">
      <c r="A788" s="400"/>
      <c r="B788" s="400"/>
      <c r="C788" s="400"/>
      <c r="D788" s="464"/>
      <c r="E788" s="464"/>
      <c r="F788" s="400"/>
      <c r="G788" s="400"/>
      <c r="H788" s="400"/>
      <c r="I788" s="400"/>
      <c r="J788" s="400"/>
      <c r="K788" s="400"/>
      <c r="L788" s="400"/>
      <c r="M788" s="400"/>
      <c r="N788" s="400"/>
    </row>
    <row r="789">
      <c r="A789" s="400"/>
      <c r="B789" s="400"/>
      <c r="C789" s="400"/>
      <c r="D789" s="464"/>
      <c r="E789" s="464"/>
      <c r="F789" s="400"/>
      <c r="G789" s="400"/>
      <c r="H789" s="400"/>
      <c r="I789" s="400"/>
      <c r="J789" s="400"/>
      <c r="K789" s="400"/>
      <c r="L789" s="400"/>
      <c r="M789" s="400"/>
      <c r="N789" s="400"/>
    </row>
    <row r="790">
      <c r="A790" s="400"/>
      <c r="B790" s="400"/>
      <c r="C790" s="400"/>
      <c r="D790" s="464"/>
      <c r="E790" s="464"/>
      <c r="F790" s="400"/>
      <c r="G790" s="400"/>
      <c r="H790" s="400"/>
      <c r="I790" s="400"/>
      <c r="J790" s="400"/>
      <c r="K790" s="400"/>
      <c r="L790" s="400"/>
      <c r="M790" s="400"/>
      <c r="N790" s="400"/>
    </row>
    <row r="791">
      <c r="A791" s="400"/>
      <c r="B791" s="400"/>
      <c r="C791" s="400"/>
      <c r="D791" s="464"/>
      <c r="E791" s="464"/>
      <c r="F791" s="400"/>
      <c r="G791" s="400"/>
      <c r="H791" s="400"/>
      <c r="I791" s="400"/>
      <c r="J791" s="400"/>
      <c r="K791" s="400"/>
      <c r="L791" s="400"/>
      <c r="M791" s="400"/>
      <c r="N791" s="400"/>
    </row>
    <row r="792">
      <c r="A792" s="400"/>
      <c r="B792" s="400"/>
      <c r="C792" s="400"/>
      <c r="D792" s="464"/>
      <c r="E792" s="464"/>
      <c r="F792" s="400"/>
      <c r="G792" s="400"/>
      <c r="H792" s="400"/>
      <c r="I792" s="400"/>
      <c r="J792" s="400"/>
      <c r="K792" s="400"/>
      <c r="L792" s="400"/>
      <c r="M792" s="400"/>
      <c r="N792" s="400"/>
    </row>
    <row r="793">
      <c r="A793" s="400"/>
      <c r="B793" s="400"/>
      <c r="C793" s="400"/>
      <c r="D793" s="464"/>
      <c r="E793" s="464"/>
      <c r="F793" s="400"/>
      <c r="G793" s="400"/>
      <c r="H793" s="400"/>
      <c r="I793" s="400"/>
      <c r="J793" s="400"/>
      <c r="K793" s="400"/>
      <c r="L793" s="400"/>
      <c r="M793" s="400"/>
      <c r="N793" s="400"/>
    </row>
    <row r="794">
      <c r="A794" s="400"/>
      <c r="B794" s="400"/>
      <c r="C794" s="400"/>
      <c r="D794" s="464"/>
      <c r="E794" s="464"/>
      <c r="F794" s="400"/>
      <c r="G794" s="400"/>
      <c r="H794" s="400"/>
      <c r="I794" s="400"/>
      <c r="J794" s="400"/>
      <c r="K794" s="400"/>
      <c r="L794" s="400"/>
      <c r="M794" s="400"/>
      <c r="N794" s="400"/>
    </row>
    <row r="795">
      <c r="A795" s="400"/>
      <c r="B795" s="400"/>
      <c r="C795" s="400"/>
      <c r="D795" s="464"/>
      <c r="E795" s="464"/>
      <c r="F795" s="400"/>
      <c r="G795" s="400"/>
      <c r="H795" s="400"/>
      <c r="I795" s="400"/>
      <c r="J795" s="400"/>
      <c r="K795" s="400"/>
      <c r="L795" s="400"/>
      <c r="M795" s="400"/>
      <c r="N795" s="400"/>
    </row>
    <row r="796">
      <c r="A796" s="400"/>
      <c r="B796" s="400"/>
      <c r="C796" s="400"/>
      <c r="D796" s="464"/>
      <c r="E796" s="464"/>
      <c r="F796" s="400"/>
      <c r="G796" s="400"/>
      <c r="H796" s="400"/>
      <c r="I796" s="400"/>
      <c r="J796" s="400"/>
      <c r="K796" s="400"/>
      <c r="L796" s="400"/>
      <c r="M796" s="400"/>
      <c r="N796" s="400"/>
    </row>
    <row r="797">
      <c r="A797" s="400"/>
      <c r="B797" s="400"/>
      <c r="C797" s="400"/>
      <c r="D797" s="464"/>
      <c r="E797" s="464"/>
      <c r="F797" s="400"/>
      <c r="G797" s="400"/>
      <c r="H797" s="400"/>
      <c r="I797" s="400"/>
      <c r="J797" s="400"/>
      <c r="K797" s="400"/>
      <c r="L797" s="400"/>
      <c r="M797" s="400"/>
      <c r="N797" s="400"/>
    </row>
    <row r="798">
      <c r="A798" s="400"/>
      <c r="B798" s="400"/>
      <c r="C798" s="400"/>
      <c r="D798" s="464"/>
      <c r="E798" s="464"/>
      <c r="F798" s="400"/>
      <c r="G798" s="400"/>
      <c r="H798" s="400"/>
      <c r="I798" s="400"/>
      <c r="J798" s="400"/>
      <c r="K798" s="400"/>
      <c r="L798" s="400"/>
      <c r="M798" s="400"/>
      <c r="N798" s="400"/>
    </row>
    <row r="799">
      <c r="A799" s="400"/>
      <c r="B799" s="400"/>
      <c r="C799" s="400"/>
      <c r="D799" s="464"/>
      <c r="E799" s="464"/>
      <c r="F799" s="400"/>
      <c r="G799" s="400"/>
      <c r="H799" s="400"/>
      <c r="I799" s="400"/>
      <c r="J799" s="400"/>
      <c r="K799" s="400"/>
      <c r="L799" s="400"/>
      <c r="M799" s="400"/>
      <c r="N799" s="400"/>
    </row>
    <row r="800">
      <c r="A800" s="400"/>
      <c r="B800" s="400"/>
      <c r="C800" s="400"/>
      <c r="D800" s="464"/>
      <c r="E800" s="464"/>
      <c r="F800" s="400"/>
      <c r="G800" s="400"/>
      <c r="H800" s="400"/>
      <c r="I800" s="400"/>
      <c r="J800" s="400"/>
      <c r="K800" s="400"/>
      <c r="L800" s="400"/>
      <c r="M800" s="400"/>
      <c r="N800" s="400"/>
    </row>
    <row r="801">
      <c r="A801" s="400"/>
      <c r="B801" s="400"/>
      <c r="C801" s="400"/>
      <c r="D801" s="464"/>
      <c r="E801" s="464"/>
      <c r="F801" s="400"/>
      <c r="G801" s="400"/>
      <c r="H801" s="400"/>
      <c r="I801" s="400"/>
      <c r="J801" s="400"/>
      <c r="K801" s="400"/>
      <c r="L801" s="400"/>
      <c r="M801" s="400"/>
      <c r="N801" s="400"/>
    </row>
    <row r="802">
      <c r="A802" s="400"/>
      <c r="B802" s="400"/>
      <c r="C802" s="400"/>
      <c r="D802" s="464"/>
      <c r="E802" s="464"/>
      <c r="F802" s="400"/>
      <c r="G802" s="400"/>
      <c r="H802" s="400"/>
      <c r="I802" s="400"/>
      <c r="J802" s="400"/>
      <c r="K802" s="400"/>
      <c r="L802" s="400"/>
      <c r="M802" s="400"/>
      <c r="N802" s="400"/>
    </row>
    <row r="803">
      <c r="A803" s="400"/>
      <c r="B803" s="400"/>
      <c r="C803" s="400"/>
      <c r="D803" s="464"/>
      <c r="E803" s="464"/>
      <c r="F803" s="400"/>
      <c r="G803" s="400"/>
      <c r="H803" s="400"/>
      <c r="I803" s="400"/>
      <c r="J803" s="400"/>
      <c r="K803" s="400"/>
      <c r="L803" s="400"/>
      <c r="M803" s="400"/>
      <c r="N803" s="400"/>
    </row>
    <row r="804">
      <c r="A804" s="400"/>
      <c r="B804" s="400"/>
      <c r="C804" s="400"/>
      <c r="D804" s="464"/>
      <c r="E804" s="464"/>
      <c r="F804" s="400"/>
      <c r="G804" s="400"/>
      <c r="H804" s="400"/>
      <c r="I804" s="400"/>
      <c r="J804" s="400"/>
      <c r="K804" s="400"/>
      <c r="L804" s="400"/>
      <c r="M804" s="400"/>
      <c r="N804" s="400"/>
    </row>
    <row r="805">
      <c r="A805" s="400"/>
      <c r="B805" s="400"/>
      <c r="C805" s="400"/>
      <c r="D805" s="464"/>
      <c r="E805" s="464"/>
      <c r="F805" s="400"/>
      <c r="G805" s="400"/>
      <c r="H805" s="400"/>
      <c r="I805" s="400"/>
      <c r="J805" s="400"/>
      <c r="K805" s="400"/>
      <c r="L805" s="400"/>
      <c r="M805" s="400"/>
      <c r="N805" s="400"/>
    </row>
    <row r="806">
      <c r="A806" s="400"/>
      <c r="B806" s="400"/>
      <c r="C806" s="400"/>
      <c r="D806" s="464"/>
      <c r="E806" s="464"/>
      <c r="F806" s="400"/>
      <c r="G806" s="400"/>
      <c r="H806" s="400"/>
      <c r="I806" s="400"/>
      <c r="J806" s="400"/>
      <c r="K806" s="400"/>
      <c r="L806" s="400"/>
      <c r="M806" s="400"/>
      <c r="N806" s="400"/>
    </row>
    <row r="807">
      <c r="A807" s="400"/>
      <c r="B807" s="400"/>
      <c r="C807" s="400"/>
      <c r="D807" s="464"/>
      <c r="E807" s="464"/>
      <c r="F807" s="400"/>
      <c r="G807" s="400"/>
      <c r="H807" s="400"/>
      <c r="I807" s="400"/>
      <c r="J807" s="400"/>
      <c r="K807" s="400"/>
      <c r="L807" s="400"/>
      <c r="M807" s="400"/>
      <c r="N807" s="400"/>
    </row>
    <row r="808">
      <c r="A808" s="400"/>
      <c r="B808" s="400"/>
      <c r="C808" s="400"/>
      <c r="D808" s="464"/>
      <c r="E808" s="464"/>
      <c r="F808" s="400"/>
      <c r="G808" s="400"/>
      <c r="H808" s="400"/>
      <c r="I808" s="400"/>
      <c r="J808" s="400"/>
      <c r="K808" s="400"/>
      <c r="L808" s="400"/>
      <c r="M808" s="400"/>
      <c r="N808" s="400"/>
    </row>
    <row r="809">
      <c r="A809" s="400"/>
      <c r="B809" s="400"/>
      <c r="C809" s="400"/>
      <c r="D809" s="464"/>
      <c r="E809" s="464"/>
      <c r="F809" s="400"/>
      <c r="G809" s="400"/>
      <c r="H809" s="400"/>
      <c r="I809" s="400"/>
      <c r="J809" s="400"/>
      <c r="K809" s="400"/>
      <c r="L809" s="400"/>
      <c r="M809" s="400"/>
      <c r="N809" s="400"/>
    </row>
    <row r="810">
      <c r="A810" s="400"/>
      <c r="B810" s="400"/>
      <c r="C810" s="400"/>
      <c r="D810" s="464"/>
      <c r="E810" s="464"/>
      <c r="F810" s="400"/>
      <c r="G810" s="400"/>
      <c r="H810" s="400"/>
      <c r="I810" s="400"/>
      <c r="J810" s="400"/>
      <c r="K810" s="400"/>
      <c r="L810" s="400"/>
      <c r="M810" s="400"/>
      <c r="N810" s="400"/>
    </row>
    <row r="811">
      <c r="A811" s="400"/>
      <c r="B811" s="400"/>
      <c r="C811" s="400"/>
      <c r="D811" s="464"/>
      <c r="E811" s="464"/>
      <c r="F811" s="400"/>
      <c r="G811" s="400"/>
      <c r="H811" s="400"/>
      <c r="I811" s="400"/>
      <c r="J811" s="400"/>
      <c r="K811" s="400"/>
      <c r="L811" s="400"/>
      <c r="M811" s="400"/>
      <c r="N811" s="400"/>
    </row>
    <row r="812">
      <c r="A812" s="400"/>
      <c r="B812" s="400"/>
      <c r="C812" s="400"/>
      <c r="D812" s="464"/>
      <c r="E812" s="464"/>
      <c r="F812" s="400"/>
      <c r="G812" s="400"/>
      <c r="H812" s="400"/>
      <c r="I812" s="400"/>
      <c r="J812" s="400"/>
      <c r="K812" s="400"/>
      <c r="L812" s="400"/>
      <c r="M812" s="400"/>
      <c r="N812" s="400"/>
    </row>
    <row r="813">
      <c r="A813" s="400"/>
      <c r="B813" s="400"/>
      <c r="C813" s="400"/>
      <c r="D813" s="464"/>
      <c r="E813" s="464"/>
      <c r="F813" s="400"/>
      <c r="G813" s="400"/>
      <c r="H813" s="400"/>
      <c r="I813" s="400"/>
      <c r="J813" s="400"/>
      <c r="K813" s="400"/>
      <c r="L813" s="400"/>
      <c r="M813" s="400"/>
      <c r="N813" s="400"/>
    </row>
    <row r="814">
      <c r="A814" s="400"/>
      <c r="B814" s="400"/>
      <c r="C814" s="400"/>
      <c r="D814" s="464"/>
      <c r="E814" s="464"/>
      <c r="F814" s="400"/>
      <c r="G814" s="400"/>
      <c r="H814" s="400"/>
      <c r="I814" s="400"/>
      <c r="J814" s="400"/>
      <c r="K814" s="400"/>
      <c r="L814" s="400"/>
      <c r="M814" s="400"/>
      <c r="N814" s="400"/>
    </row>
    <row r="815">
      <c r="A815" s="400"/>
      <c r="B815" s="400"/>
      <c r="C815" s="400"/>
      <c r="D815" s="464"/>
      <c r="E815" s="464"/>
      <c r="F815" s="400"/>
      <c r="G815" s="400"/>
      <c r="H815" s="400"/>
      <c r="I815" s="400"/>
      <c r="J815" s="400"/>
      <c r="K815" s="400"/>
      <c r="L815" s="400"/>
      <c r="M815" s="400"/>
      <c r="N815" s="400"/>
    </row>
    <row r="816">
      <c r="A816" s="400"/>
      <c r="B816" s="400"/>
      <c r="C816" s="400"/>
      <c r="D816" s="464"/>
      <c r="E816" s="464"/>
      <c r="F816" s="400"/>
      <c r="G816" s="400"/>
      <c r="H816" s="400"/>
      <c r="I816" s="400"/>
      <c r="J816" s="400"/>
      <c r="K816" s="400"/>
      <c r="L816" s="400"/>
      <c r="M816" s="400"/>
      <c r="N816" s="400"/>
    </row>
    <row r="817">
      <c r="A817" s="400"/>
      <c r="B817" s="400"/>
      <c r="C817" s="400"/>
      <c r="D817" s="464"/>
      <c r="E817" s="464"/>
      <c r="F817" s="400"/>
      <c r="G817" s="400"/>
      <c r="H817" s="400"/>
      <c r="I817" s="400"/>
      <c r="J817" s="400"/>
      <c r="K817" s="400"/>
      <c r="L817" s="400"/>
      <c r="M817" s="400"/>
      <c r="N817" s="400"/>
    </row>
    <row r="818">
      <c r="A818" s="400"/>
      <c r="B818" s="400"/>
      <c r="C818" s="400"/>
      <c r="D818" s="464"/>
      <c r="E818" s="464"/>
      <c r="F818" s="400"/>
      <c r="G818" s="400"/>
      <c r="H818" s="400"/>
      <c r="I818" s="400"/>
      <c r="J818" s="400"/>
      <c r="K818" s="400"/>
      <c r="L818" s="400"/>
      <c r="M818" s="400"/>
      <c r="N818" s="400"/>
    </row>
    <row r="819">
      <c r="A819" s="400"/>
      <c r="B819" s="400"/>
      <c r="C819" s="400"/>
      <c r="D819" s="464"/>
      <c r="E819" s="464"/>
      <c r="F819" s="400"/>
      <c r="G819" s="400"/>
      <c r="H819" s="400"/>
      <c r="I819" s="400"/>
      <c r="J819" s="400"/>
      <c r="K819" s="400"/>
      <c r="L819" s="400"/>
      <c r="M819" s="400"/>
      <c r="N819" s="400"/>
    </row>
    <row r="820">
      <c r="A820" s="400"/>
      <c r="B820" s="400"/>
      <c r="C820" s="400"/>
      <c r="D820" s="464"/>
      <c r="E820" s="464"/>
      <c r="F820" s="400"/>
      <c r="G820" s="400"/>
      <c r="H820" s="400"/>
      <c r="I820" s="400"/>
      <c r="J820" s="400"/>
      <c r="K820" s="400"/>
      <c r="L820" s="400"/>
      <c r="M820" s="400"/>
      <c r="N820" s="400"/>
    </row>
    <row r="821">
      <c r="A821" s="400"/>
      <c r="B821" s="400"/>
      <c r="C821" s="400"/>
      <c r="D821" s="464"/>
      <c r="E821" s="464"/>
      <c r="F821" s="400"/>
      <c r="G821" s="400"/>
      <c r="H821" s="400"/>
      <c r="I821" s="400"/>
      <c r="J821" s="400"/>
      <c r="K821" s="400"/>
      <c r="L821" s="400"/>
      <c r="M821" s="400"/>
      <c r="N821" s="400"/>
    </row>
    <row r="822">
      <c r="A822" s="400"/>
      <c r="B822" s="400"/>
      <c r="C822" s="400"/>
      <c r="D822" s="464"/>
      <c r="E822" s="464"/>
      <c r="F822" s="400"/>
      <c r="G822" s="400"/>
      <c r="H822" s="400"/>
      <c r="I822" s="400"/>
      <c r="J822" s="400"/>
      <c r="K822" s="400"/>
      <c r="L822" s="400"/>
      <c r="M822" s="400"/>
      <c r="N822" s="400"/>
    </row>
    <row r="823">
      <c r="A823" s="400"/>
      <c r="B823" s="400"/>
      <c r="C823" s="400"/>
      <c r="D823" s="464"/>
      <c r="E823" s="464"/>
      <c r="F823" s="400"/>
      <c r="G823" s="400"/>
      <c r="H823" s="400"/>
      <c r="I823" s="400"/>
      <c r="J823" s="400"/>
      <c r="K823" s="400"/>
      <c r="L823" s="400"/>
      <c r="M823" s="400"/>
      <c r="N823" s="400"/>
    </row>
    <row r="824">
      <c r="A824" s="400"/>
      <c r="B824" s="400"/>
      <c r="C824" s="400"/>
      <c r="D824" s="464"/>
      <c r="E824" s="464"/>
      <c r="F824" s="400"/>
      <c r="G824" s="400"/>
      <c r="H824" s="400"/>
      <c r="I824" s="400"/>
      <c r="J824" s="400"/>
      <c r="K824" s="400"/>
      <c r="L824" s="400"/>
      <c r="M824" s="400"/>
      <c r="N824" s="400"/>
    </row>
    <row r="825">
      <c r="A825" s="400"/>
      <c r="B825" s="400"/>
      <c r="C825" s="400"/>
      <c r="D825" s="464"/>
      <c r="E825" s="464"/>
      <c r="F825" s="400"/>
      <c r="G825" s="400"/>
      <c r="H825" s="400"/>
      <c r="I825" s="400"/>
      <c r="J825" s="400"/>
      <c r="K825" s="400"/>
      <c r="L825" s="400"/>
      <c r="M825" s="400"/>
      <c r="N825" s="400"/>
    </row>
    <row r="826">
      <c r="A826" s="400"/>
      <c r="B826" s="400"/>
      <c r="C826" s="400"/>
      <c r="D826" s="464"/>
      <c r="E826" s="464"/>
      <c r="F826" s="400"/>
      <c r="G826" s="400"/>
      <c r="H826" s="400"/>
      <c r="I826" s="400"/>
      <c r="J826" s="400"/>
      <c r="K826" s="400"/>
      <c r="L826" s="400"/>
      <c r="M826" s="400"/>
      <c r="N826" s="400"/>
    </row>
    <row r="827">
      <c r="A827" s="400"/>
      <c r="B827" s="400"/>
      <c r="C827" s="400"/>
      <c r="D827" s="464"/>
      <c r="E827" s="464"/>
      <c r="F827" s="400"/>
      <c r="G827" s="400"/>
      <c r="H827" s="400"/>
      <c r="I827" s="400"/>
      <c r="J827" s="400"/>
      <c r="K827" s="400"/>
      <c r="L827" s="400"/>
      <c r="M827" s="400"/>
      <c r="N827" s="400"/>
    </row>
    <row r="828">
      <c r="A828" s="400"/>
      <c r="B828" s="400"/>
      <c r="C828" s="400"/>
      <c r="D828" s="464"/>
      <c r="E828" s="464"/>
      <c r="F828" s="400"/>
      <c r="G828" s="400"/>
      <c r="H828" s="400"/>
      <c r="I828" s="400"/>
      <c r="J828" s="400"/>
      <c r="K828" s="400"/>
      <c r="L828" s="400"/>
      <c r="M828" s="400"/>
      <c r="N828" s="400"/>
    </row>
    <row r="829">
      <c r="A829" s="400"/>
      <c r="B829" s="400"/>
      <c r="C829" s="400"/>
      <c r="D829" s="464"/>
      <c r="E829" s="464"/>
      <c r="F829" s="400"/>
      <c r="G829" s="400"/>
      <c r="H829" s="400"/>
      <c r="I829" s="400"/>
      <c r="J829" s="400"/>
      <c r="K829" s="400"/>
      <c r="L829" s="400"/>
      <c r="M829" s="400"/>
      <c r="N829" s="400"/>
    </row>
    <row r="830">
      <c r="A830" s="400"/>
      <c r="B830" s="400"/>
      <c r="C830" s="400"/>
      <c r="D830" s="464"/>
      <c r="E830" s="464"/>
      <c r="F830" s="400"/>
      <c r="G830" s="400"/>
      <c r="H830" s="400"/>
      <c r="I830" s="400"/>
      <c r="J830" s="400"/>
      <c r="K830" s="400"/>
      <c r="L830" s="400"/>
      <c r="M830" s="400"/>
      <c r="N830" s="400"/>
    </row>
    <row r="831">
      <c r="A831" s="400"/>
      <c r="B831" s="400"/>
      <c r="C831" s="400"/>
      <c r="D831" s="464"/>
      <c r="E831" s="464"/>
      <c r="F831" s="400"/>
      <c r="G831" s="400"/>
      <c r="H831" s="400"/>
      <c r="I831" s="400"/>
      <c r="J831" s="400"/>
      <c r="K831" s="400"/>
      <c r="L831" s="400"/>
      <c r="M831" s="400"/>
      <c r="N831" s="400"/>
    </row>
    <row r="832">
      <c r="A832" s="400"/>
      <c r="B832" s="400"/>
      <c r="C832" s="400"/>
      <c r="D832" s="464"/>
      <c r="E832" s="464"/>
      <c r="F832" s="400"/>
      <c r="G832" s="400"/>
      <c r="H832" s="400"/>
      <c r="I832" s="400"/>
      <c r="J832" s="400"/>
      <c r="K832" s="400"/>
      <c r="L832" s="400"/>
      <c r="M832" s="400"/>
      <c r="N832" s="400"/>
    </row>
    <row r="833">
      <c r="A833" s="400"/>
      <c r="B833" s="400"/>
      <c r="C833" s="400"/>
      <c r="D833" s="464"/>
      <c r="E833" s="464"/>
      <c r="F833" s="400"/>
      <c r="G833" s="400"/>
      <c r="H833" s="400"/>
      <c r="I833" s="400"/>
      <c r="J833" s="400"/>
      <c r="K833" s="400"/>
      <c r="L833" s="400"/>
      <c r="M833" s="400"/>
      <c r="N833" s="400"/>
    </row>
    <row r="834">
      <c r="A834" s="400"/>
      <c r="B834" s="400"/>
      <c r="C834" s="400"/>
      <c r="D834" s="464"/>
      <c r="E834" s="464"/>
      <c r="F834" s="400"/>
      <c r="G834" s="400"/>
      <c r="H834" s="400"/>
      <c r="I834" s="400"/>
      <c r="J834" s="400"/>
      <c r="K834" s="400"/>
      <c r="L834" s="400"/>
      <c r="M834" s="400"/>
      <c r="N834" s="400"/>
    </row>
    <row r="835">
      <c r="A835" s="400"/>
      <c r="B835" s="400"/>
      <c r="C835" s="400"/>
      <c r="D835" s="464"/>
      <c r="E835" s="464"/>
      <c r="F835" s="400"/>
      <c r="G835" s="400"/>
      <c r="H835" s="400"/>
      <c r="I835" s="400"/>
      <c r="J835" s="400"/>
      <c r="K835" s="400"/>
      <c r="L835" s="400"/>
      <c r="M835" s="400"/>
      <c r="N835" s="400"/>
    </row>
  </sheetData>
  <conditionalFormatting sqref="E3:E30">
    <cfRule type="colorScale" priority="1">
      <colorScale>
        <cfvo type="min"/>
        <cfvo type="percentile" val="80"/>
        <cfvo type="max"/>
        <color rgb="FF57BB8A"/>
        <color rgb="FFFFD666"/>
        <color rgb="FFE67C73"/>
      </colorScale>
    </cfRule>
  </conditionalFormatting>
  <conditionalFormatting sqref="F3:F30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custom" allowBlank="1" showDropDown="1" sqref="A2:A30">
      <formula1>OR(NOT(ISERROR(DATEVALUE(A2))), AND(ISNUMBER(A2), LEFT(CELL("format", A2))="D"))</formula1>
    </dataValidation>
    <dataValidation type="custom" allowBlank="1" showDropDown="1" sqref="F2:F30">
      <formula1>AND(ISNUMBER(F2),(NOT(OR(NOT(ISERROR(DATEVALUE(F2))), AND(ISNUMBER(F2), LEFT(CELL("format", F2))="D")))))</formula1>
    </dataValidation>
  </dataValidations>
  <hyperlinks>
    <hyperlink r:id="rId1" ref="G5"/>
    <hyperlink r:id="rId2" ref="H6"/>
    <hyperlink r:id="rId3" ref="I6"/>
    <hyperlink r:id="rId4" ref="H7"/>
    <hyperlink r:id="rId5" ref="I7"/>
    <hyperlink r:id="rId6" ref="H8"/>
    <hyperlink r:id="rId7" ref="H9"/>
    <hyperlink r:id="rId8" ref="H10"/>
    <hyperlink r:id="rId9" ref="H11"/>
    <hyperlink r:id="rId10" ref="H12"/>
    <hyperlink r:id="rId11" ref="H13"/>
    <hyperlink r:id="rId12" ref="H14"/>
    <hyperlink r:id="rId13" ref="I14"/>
    <hyperlink r:id="rId14" ref="H15"/>
    <hyperlink r:id="rId15" ref="H16"/>
    <hyperlink r:id="rId16" ref="I16"/>
    <hyperlink r:id="rId17" ref="H17"/>
    <hyperlink r:id="rId18" ref="I17"/>
    <hyperlink r:id="rId19" ref="H18"/>
    <hyperlink r:id="rId20" ref="D19"/>
    <hyperlink r:id="rId21" ref="H19"/>
    <hyperlink r:id="rId22" ref="I19"/>
    <hyperlink r:id="rId23" ref="H20"/>
    <hyperlink r:id="rId24" ref="I20"/>
    <hyperlink r:id="rId25" ref="H21"/>
    <hyperlink r:id="rId26" ref="I21"/>
    <hyperlink r:id="rId27" ref="H22"/>
    <hyperlink r:id="rId28" ref="I22"/>
    <hyperlink r:id="rId29" ref="H23"/>
    <hyperlink r:id="rId30" ref="I23"/>
    <hyperlink r:id="rId31" ref="H24"/>
    <hyperlink r:id="rId32" ref="H25"/>
    <hyperlink r:id="rId33" ref="H26"/>
    <hyperlink r:id="rId34" ref="I26"/>
    <hyperlink r:id="rId35" ref="H27"/>
    <hyperlink r:id="rId36" ref="I27"/>
    <hyperlink r:id="rId37" ref="H28"/>
    <hyperlink r:id="rId38" ref="I28"/>
    <hyperlink r:id="rId39" ref="H29"/>
    <hyperlink r:id="rId40" ref="I29"/>
  </hyperlinks>
  <drawing r:id="rId41"/>
  <tableParts count="1">
    <tablePart r:id="rId4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78"/>
    <col customWidth="1" min="2" max="2" width="7.89"/>
    <col customWidth="1" min="3" max="3" width="26.67"/>
    <col customWidth="1" min="4" max="4" width="61.33"/>
    <col customWidth="1" min="5" max="5" width="13.33"/>
    <col customWidth="1" min="6" max="6" width="6.33"/>
    <col customWidth="1" min="7" max="7" width="25.0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7" t="s">
        <v>1054</v>
      </c>
    </row>
    <row r="2">
      <c r="A2" s="191">
        <v>46312.0</v>
      </c>
      <c r="B2" s="190"/>
      <c r="C2" s="409" t="s">
        <v>1061</v>
      </c>
      <c r="D2" s="190"/>
      <c r="F2" s="190"/>
      <c r="G2" s="190"/>
      <c r="H2" s="411"/>
    </row>
    <row r="3">
      <c r="A3" s="38">
        <v>46313.0</v>
      </c>
      <c r="B3" s="190" t="s">
        <v>1062</v>
      </c>
      <c r="C3" s="409" t="s">
        <v>1063</v>
      </c>
      <c r="D3" s="190" t="s">
        <v>1065</v>
      </c>
      <c r="F3" s="190" t="s">
        <v>1067</v>
      </c>
      <c r="G3" s="190" t="s">
        <v>1068</v>
      </c>
      <c r="H3" s="411"/>
    </row>
    <row r="4">
      <c r="A4" s="38">
        <v>46314.0</v>
      </c>
      <c r="B4" s="190" t="s">
        <v>1069</v>
      </c>
      <c r="C4" s="409" t="s">
        <v>1070</v>
      </c>
      <c r="D4" s="190" t="s">
        <v>1070</v>
      </c>
    </row>
    <row r="5">
      <c r="A5" s="38">
        <v>46315.0</v>
      </c>
      <c r="B5" s="190" t="s">
        <v>1071</v>
      </c>
      <c r="C5" s="409" t="s">
        <v>1072</v>
      </c>
      <c r="D5" s="415" t="s">
        <v>1073</v>
      </c>
      <c r="F5" s="190" t="s">
        <v>1067</v>
      </c>
      <c r="G5" s="416"/>
      <c r="H5" s="416"/>
    </row>
    <row r="6">
      <c r="A6" s="38">
        <v>46316.0</v>
      </c>
      <c r="B6" s="190" t="s">
        <v>1074</v>
      </c>
      <c r="C6" s="409" t="s">
        <v>409</v>
      </c>
      <c r="D6" s="190" t="s">
        <v>1075</v>
      </c>
      <c r="G6" s="411"/>
      <c r="H6" s="411"/>
    </row>
    <row r="7">
      <c r="A7" s="38">
        <v>46317.0</v>
      </c>
      <c r="B7" s="190" t="s">
        <v>1076</v>
      </c>
      <c r="C7" s="409" t="s">
        <v>1077</v>
      </c>
      <c r="D7" s="415" t="s">
        <v>1079</v>
      </c>
      <c r="F7" s="190" t="s">
        <v>395</v>
      </c>
    </row>
    <row r="8">
      <c r="A8" s="38">
        <v>46318.0</v>
      </c>
      <c r="B8" s="190" t="s">
        <v>1080</v>
      </c>
      <c r="C8" s="409" t="s">
        <v>181</v>
      </c>
      <c r="D8" s="190" t="s">
        <v>1081</v>
      </c>
      <c r="G8" s="190" t="s">
        <v>1082</v>
      </c>
      <c r="H8" s="411"/>
    </row>
    <row r="9">
      <c r="A9" s="38">
        <v>46319.0</v>
      </c>
      <c r="B9" s="190" t="s">
        <v>1083</v>
      </c>
      <c r="C9" s="409" t="s">
        <v>181</v>
      </c>
      <c r="D9" s="190" t="s">
        <v>1084</v>
      </c>
    </row>
    <row r="10">
      <c r="A10" s="38">
        <v>46320.0</v>
      </c>
      <c r="B10" s="190" t="s">
        <v>1086</v>
      </c>
      <c r="C10" s="409" t="s">
        <v>181</v>
      </c>
      <c r="D10" s="190" t="s">
        <v>1087</v>
      </c>
      <c r="F10" s="190" t="s">
        <v>395</v>
      </c>
    </row>
    <row r="11">
      <c r="A11" s="38">
        <v>46321.0</v>
      </c>
      <c r="B11" s="417" t="s">
        <v>1088</v>
      </c>
      <c r="C11" s="417" t="s">
        <v>1089</v>
      </c>
      <c r="D11" s="417" t="s">
        <v>1090</v>
      </c>
      <c r="E11" s="417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56"/>
    <col customWidth="1" min="2" max="2" width="6.0"/>
    <col customWidth="1" min="3" max="3" width="22.67"/>
    <col customWidth="1" min="4" max="4" width="41.22"/>
    <col customWidth="1" min="5" max="5" width="7.56"/>
    <col customWidth="1" min="6" max="6" width="6.33"/>
    <col customWidth="1" min="7" max="7" width="27.89"/>
    <col customWidth="1" min="8" max="8" width="39.22"/>
    <col customWidth="1" min="9" max="9" width="37.89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7" t="s">
        <v>1054</v>
      </c>
      <c r="H1" s="407" t="s">
        <v>1055</v>
      </c>
      <c r="I1" s="422" t="s">
        <v>1057</v>
      </c>
    </row>
    <row r="2">
      <c r="A2" s="38">
        <v>46321.0</v>
      </c>
      <c r="B2" s="94">
        <v>1.0</v>
      </c>
      <c r="C2" s="94" t="s">
        <v>489</v>
      </c>
      <c r="D2" s="424" t="s">
        <v>1097</v>
      </c>
      <c r="E2" s="94" t="s">
        <v>490</v>
      </c>
      <c r="F2" s="94" t="s">
        <v>490</v>
      </c>
      <c r="G2" s="94" t="s">
        <v>1099</v>
      </c>
      <c r="H2" s="189" t="s">
        <v>1100</v>
      </c>
      <c r="I2" s="110"/>
    </row>
    <row r="3">
      <c r="A3" s="38">
        <v>46322.0</v>
      </c>
      <c r="B3" s="94">
        <v>2.0</v>
      </c>
      <c r="C3" s="94" t="s">
        <v>489</v>
      </c>
      <c r="D3" s="424" t="s">
        <v>1107</v>
      </c>
      <c r="E3" s="94" t="s">
        <v>490</v>
      </c>
      <c r="F3" s="94" t="s">
        <v>490</v>
      </c>
      <c r="G3" s="431" t="s">
        <v>1110</v>
      </c>
      <c r="H3" s="189" t="s">
        <v>1112</v>
      </c>
      <c r="I3" s="110"/>
    </row>
    <row r="4">
      <c r="A4" s="38">
        <v>46323.0</v>
      </c>
      <c r="B4" s="94">
        <v>3.0</v>
      </c>
      <c r="C4" s="94" t="s">
        <v>489</v>
      </c>
      <c r="D4" s="424" t="s">
        <v>1115</v>
      </c>
      <c r="E4" s="94">
        <v>30.0</v>
      </c>
      <c r="F4" s="94" t="s">
        <v>1116</v>
      </c>
      <c r="G4" s="94" t="s">
        <v>1117</v>
      </c>
      <c r="H4" s="189" t="s">
        <v>1118</v>
      </c>
      <c r="I4" s="110"/>
    </row>
    <row r="5">
      <c r="A5" s="38">
        <v>46324.0</v>
      </c>
      <c r="B5" s="94">
        <v>4.0</v>
      </c>
      <c r="C5" s="94" t="s">
        <v>502</v>
      </c>
      <c r="D5" s="424" t="s">
        <v>1127</v>
      </c>
      <c r="E5" s="94">
        <v>150.0</v>
      </c>
      <c r="F5" s="94">
        <v>2.0</v>
      </c>
      <c r="G5" s="94" t="s">
        <v>1128</v>
      </c>
      <c r="H5" s="189" t="s">
        <v>1129</v>
      </c>
      <c r="I5" s="110"/>
    </row>
    <row r="6">
      <c r="A6" s="38">
        <v>46325.0</v>
      </c>
      <c r="B6" s="94">
        <v>5.0</v>
      </c>
      <c r="C6" s="94" t="s">
        <v>502</v>
      </c>
      <c r="D6" s="424" t="s">
        <v>1135</v>
      </c>
      <c r="E6" s="94">
        <v>0.0</v>
      </c>
      <c r="F6" s="94">
        <v>0.0</v>
      </c>
      <c r="G6" s="94" t="s">
        <v>1137</v>
      </c>
      <c r="H6" s="189" t="s">
        <v>1138</v>
      </c>
      <c r="I6" s="386" t="s">
        <v>1141</v>
      </c>
    </row>
    <row r="7">
      <c r="A7" s="38">
        <v>46326.0</v>
      </c>
      <c r="B7" s="94">
        <v>6.0</v>
      </c>
      <c r="C7" s="94" t="s">
        <v>502</v>
      </c>
      <c r="D7" s="424" t="s">
        <v>1144</v>
      </c>
      <c r="E7" s="94">
        <v>0.0</v>
      </c>
      <c r="F7" s="94">
        <v>0.0</v>
      </c>
      <c r="G7" s="94"/>
      <c r="H7" s="189" t="s">
        <v>1145</v>
      </c>
      <c r="I7" s="110"/>
    </row>
    <row r="8">
      <c r="A8" s="38">
        <v>46327.0</v>
      </c>
      <c r="B8" s="94">
        <v>7.0</v>
      </c>
      <c r="C8" s="94" t="s">
        <v>517</v>
      </c>
      <c r="D8" s="424" t="s">
        <v>1150</v>
      </c>
      <c r="E8" s="94">
        <v>100.0</v>
      </c>
      <c r="F8" s="94">
        <v>2.0</v>
      </c>
      <c r="G8" s="94" t="s">
        <v>1151</v>
      </c>
      <c r="H8" s="189" t="s">
        <v>1152</v>
      </c>
      <c r="I8" s="110"/>
    </row>
    <row r="9">
      <c r="A9" s="38">
        <v>46328.0</v>
      </c>
      <c r="B9" s="94">
        <v>8.0</v>
      </c>
      <c r="C9" s="94" t="s">
        <v>528</v>
      </c>
      <c r="D9" s="424" t="s">
        <v>1156</v>
      </c>
      <c r="E9" s="94">
        <v>350.0</v>
      </c>
      <c r="F9" s="94">
        <v>4.0</v>
      </c>
      <c r="G9" s="94"/>
      <c r="H9" s="189" t="s">
        <v>1158</v>
      </c>
      <c r="I9" s="110"/>
    </row>
    <row r="10">
      <c r="A10" s="38">
        <v>46329.0</v>
      </c>
      <c r="B10" s="94">
        <v>9.0</v>
      </c>
      <c r="C10" s="94" t="s">
        <v>528</v>
      </c>
      <c r="D10" s="424" t="s">
        <v>1164</v>
      </c>
      <c r="E10" s="94">
        <v>110.0</v>
      </c>
      <c r="F10" s="94">
        <v>1.3</v>
      </c>
      <c r="G10" s="94" t="s">
        <v>1165</v>
      </c>
      <c r="H10" s="189" t="s">
        <v>1166</v>
      </c>
      <c r="I10" s="110"/>
    </row>
    <row r="11">
      <c r="A11" s="38">
        <v>46330.0</v>
      </c>
      <c r="B11" s="94">
        <v>10.0</v>
      </c>
      <c r="C11" s="94" t="s">
        <v>536</v>
      </c>
      <c r="D11" s="424" t="s">
        <v>1170</v>
      </c>
      <c r="E11" s="94">
        <v>0.0</v>
      </c>
      <c r="F11" s="94">
        <v>0.0</v>
      </c>
      <c r="G11" s="94" t="s">
        <v>1174</v>
      </c>
      <c r="H11" s="189" t="s">
        <v>1176</v>
      </c>
      <c r="I11" s="110"/>
    </row>
    <row r="12">
      <c r="A12" s="38">
        <v>46331.0</v>
      </c>
      <c r="B12" s="94">
        <v>11.0</v>
      </c>
      <c r="C12" s="94" t="s">
        <v>536</v>
      </c>
      <c r="D12" s="424" t="s">
        <v>1180</v>
      </c>
      <c r="E12" s="94">
        <v>0.0</v>
      </c>
      <c r="F12" s="94">
        <v>0.0</v>
      </c>
      <c r="G12" s="94"/>
      <c r="H12" s="189" t="s">
        <v>1181</v>
      </c>
      <c r="I12" s="110"/>
    </row>
    <row r="13">
      <c r="A13" s="38">
        <v>46332.0</v>
      </c>
      <c r="B13" s="94">
        <v>12.0</v>
      </c>
      <c r="C13" s="94" t="s">
        <v>536</v>
      </c>
      <c r="D13" s="424" t="s">
        <v>1190</v>
      </c>
      <c r="E13" s="94">
        <v>0.0</v>
      </c>
      <c r="F13" s="94">
        <v>0.0</v>
      </c>
      <c r="G13" s="94"/>
      <c r="H13" s="189" t="s">
        <v>1191</v>
      </c>
      <c r="I13" s="110"/>
    </row>
    <row r="14">
      <c r="A14" s="38">
        <v>46333.0</v>
      </c>
      <c r="B14" s="94">
        <v>13.0</v>
      </c>
      <c r="C14" s="94" t="s">
        <v>1198</v>
      </c>
      <c r="D14" s="424" t="s">
        <v>1199</v>
      </c>
      <c r="E14" s="94">
        <v>80.0</v>
      </c>
      <c r="F14" s="94">
        <v>1.0</v>
      </c>
      <c r="G14" s="94" t="s">
        <v>1202</v>
      </c>
      <c r="H14" s="189" t="s">
        <v>1203</v>
      </c>
      <c r="I14" s="110"/>
    </row>
    <row r="15">
      <c r="A15" s="38">
        <v>46334.0</v>
      </c>
      <c r="B15" s="94">
        <v>14.0</v>
      </c>
      <c r="C15" s="94" t="s">
        <v>489</v>
      </c>
      <c r="D15" s="424" t="s">
        <v>1206</v>
      </c>
      <c r="E15" s="94">
        <v>100.0</v>
      </c>
      <c r="F15" s="94">
        <v>1.2</v>
      </c>
      <c r="G15" s="94" t="s">
        <v>1208</v>
      </c>
      <c r="H15" s="189" t="s">
        <v>1209</v>
      </c>
      <c r="I15" s="110"/>
    </row>
    <row r="16">
      <c r="D16" s="441"/>
    </row>
    <row r="17">
      <c r="D17" s="415"/>
    </row>
    <row r="18">
      <c r="D18" s="29"/>
    </row>
    <row r="19">
      <c r="D19" s="29"/>
    </row>
    <row r="20">
      <c r="D20" s="29"/>
    </row>
    <row r="21">
      <c r="D21" s="29"/>
    </row>
    <row r="22">
      <c r="D22" s="29"/>
    </row>
    <row r="23">
      <c r="A23" s="444"/>
      <c r="B23" s="444"/>
      <c r="C23" s="444"/>
      <c r="D23" s="444"/>
    </row>
    <row r="38">
      <c r="D38" s="29"/>
    </row>
    <row r="39">
      <c r="D39" s="29"/>
    </row>
    <row r="40">
      <c r="D40" s="29"/>
    </row>
    <row r="41">
      <c r="D41" s="29"/>
    </row>
    <row r="42">
      <c r="D42" s="29"/>
    </row>
    <row r="43">
      <c r="D43" s="29"/>
    </row>
    <row r="44">
      <c r="D44" s="29"/>
    </row>
    <row r="45">
      <c r="D45" s="29"/>
    </row>
    <row r="46">
      <c r="D46" s="29"/>
    </row>
    <row r="47">
      <c r="D47" s="29"/>
    </row>
    <row r="48">
      <c r="D48" s="29"/>
    </row>
    <row r="49">
      <c r="D49" s="29"/>
    </row>
    <row r="50">
      <c r="D50" s="29"/>
    </row>
    <row r="51">
      <c r="D51" s="29"/>
    </row>
    <row r="52">
      <c r="D52" s="29"/>
    </row>
    <row r="53">
      <c r="D53" s="29"/>
    </row>
    <row r="54">
      <c r="D54" s="29"/>
    </row>
    <row r="55">
      <c r="D55" s="29"/>
    </row>
    <row r="56">
      <c r="D56" s="29"/>
    </row>
    <row r="57">
      <c r="D57" s="29"/>
    </row>
    <row r="58">
      <c r="D58" s="29"/>
    </row>
    <row r="59">
      <c r="D59" s="29"/>
    </row>
    <row r="60">
      <c r="D60" s="29"/>
    </row>
    <row r="61">
      <c r="D61" s="29"/>
    </row>
    <row r="62">
      <c r="D62" s="29"/>
    </row>
    <row r="63">
      <c r="D63" s="29"/>
    </row>
    <row r="64">
      <c r="D64" s="29"/>
    </row>
    <row r="65">
      <c r="D65" s="29"/>
    </row>
    <row r="66">
      <c r="D66" s="29"/>
    </row>
    <row r="67">
      <c r="D67" s="29"/>
    </row>
    <row r="68">
      <c r="D68" s="29"/>
    </row>
    <row r="69">
      <c r="D69" s="29"/>
    </row>
    <row r="70">
      <c r="D70" s="29"/>
    </row>
    <row r="71">
      <c r="D71" s="29"/>
    </row>
    <row r="72">
      <c r="D72" s="29"/>
    </row>
    <row r="73">
      <c r="D73" s="29"/>
    </row>
    <row r="74">
      <c r="D74" s="29"/>
    </row>
    <row r="75">
      <c r="D75" s="29"/>
    </row>
    <row r="76">
      <c r="D76" s="29"/>
    </row>
    <row r="77">
      <c r="D77" s="29"/>
    </row>
    <row r="78">
      <c r="D78" s="29"/>
    </row>
    <row r="79">
      <c r="D79" s="29"/>
    </row>
    <row r="80">
      <c r="D80" s="29"/>
    </row>
    <row r="81">
      <c r="D81" s="29"/>
    </row>
    <row r="82">
      <c r="D82" s="29"/>
    </row>
    <row r="83">
      <c r="D83" s="29"/>
    </row>
    <row r="84">
      <c r="D84" s="29"/>
    </row>
    <row r="85">
      <c r="D85" s="29"/>
    </row>
    <row r="86">
      <c r="D86" s="29"/>
    </row>
    <row r="87">
      <c r="D87" s="29"/>
    </row>
    <row r="88">
      <c r="D88" s="29"/>
    </row>
    <row r="89">
      <c r="D89" s="29"/>
    </row>
    <row r="90">
      <c r="D90" s="29"/>
    </row>
    <row r="91">
      <c r="D91" s="29"/>
    </row>
    <row r="92">
      <c r="D92" s="29"/>
    </row>
    <row r="93">
      <c r="D93" s="29"/>
    </row>
    <row r="94">
      <c r="D94" s="29"/>
    </row>
    <row r="95">
      <c r="D95" s="29"/>
    </row>
    <row r="96">
      <c r="D96" s="29"/>
    </row>
    <row r="97">
      <c r="D97" s="29"/>
    </row>
    <row r="98">
      <c r="D98" s="29"/>
    </row>
    <row r="99">
      <c r="D99" s="29"/>
    </row>
    <row r="100"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  <row r="1001">
      <c r="D1001" s="29"/>
    </row>
    <row r="1002">
      <c r="D1002" s="29"/>
    </row>
  </sheetData>
  <hyperlinks>
    <hyperlink r:id="rId1" ref="H2"/>
    <hyperlink r:id="rId2" ref="H3"/>
    <hyperlink r:id="rId3" ref="H4"/>
    <hyperlink r:id="rId4" ref="H5"/>
    <hyperlink r:id="rId5" ref="H6"/>
    <hyperlink r:id="rId6" ref="I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</hyperlinks>
  <drawing r:id="rId1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5.78"/>
    <col customWidth="1" min="3" max="3" width="26.44"/>
    <col customWidth="1" min="4" max="4" width="61.22"/>
    <col customWidth="1" min="5" max="5" width="8.56"/>
    <col customWidth="1" min="6" max="6" width="8.44"/>
    <col customWidth="1" min="7" max="7" width="24.11"/>
    <col customWidth="1" min="8" max="8" width="72.33"/>
    <col customWidth="1" min="9" max="9" width="14.78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7" t="s">
        <v>1054</v>
      </c>
      <c r="H1" s="428" t="s">
        <v>1103</v>
      </c>
      <c r="I1" s="429" t="s">
        <v>1057</v>
      </c>
    </row>
    <row r="2">
      <c r="A2" s="38">
        <v>46334.0</v>
      </c>
      <c r="B2" s="58">
        <v>1.0</v>
      </c>
      <c r="C2" s="44" t="s">
        <v>573</v>
      </c>
      <c r="D2" s="58" t="s">
        <v>1106</v>
      </c>
      <c r="E2" s="58" t="s">
        <v>490</v>
      </c>
      <c r="F2" s="58" t="s">
        <v>490</v>
      </c>
      <c r="G2" s="58" t="s">
        <v>1109</v>
      </c>
      <c r="H2" s="432" t="s">
        <v>1111</v>
      </c>
      <c r="I2" s="110"/>
    </row>
    <row r="3">
      <c r="A3" s="38">
        <v>46335.0</v>
      </c>
      <c r="B3" s="58">
        <v>2.0</v>
      </c>
      <c r="C3" s="44" t="s">
        <v>573</v>
      </c>
      <c r="D3" s="58" t="s">
        <v>1120</v>
      </c>
      <c r="E3" s="58" t="s">
        <v>1122</v>
      </c>
      <c r="F3" s="58" t="s">
        <v>1123</v>
      </c>
      <c r="G3" s="58" t="s">
        <v>1124</v>
      </c>
      <c r="H3" s="432" t="s">
        <v>1125</v>
      </c>
      <c r="I3" s="110"/>
    </row>
    <row r="4">
      <c r="A4" s="38">
        <v>46336.0</v>
      </c>
      <c r="B4" s="58">
        <v>3.0</v>
      </c>
      <c r="C4" s="44" t="s">
        <v>573</v>
      </c>
      <c r="D4" s="58" t="s">
        <v>1130</v>
      </c>
      <c r="E4" s="58" t="s">
        <v>1131</v>
      </c>
      <c r="F4" s="58" t="s">
        <v>1132</v>
      </c>
      <c r="G4" s="110"/>
      <c r="H4" s="432" t="s">
        <v>1133</v>
      </c>
      <c r="I4" s="110"/>
    </row>
    <row r="5">
      <c r="A5" s="38">
        <v>46337.0</v>
      </c>
      <c r="B5" s="58">
        <v>4.0</v>
      </c>
      <c r="C5" s="44" t="s">
        <v>573</v>
      </c>
      <c r="D5" s="58" t="s">
        <v>1142</v>
      </c>
      <c r="E5" s="58"/>
      <c r="F5" s="58"/>
      <c r="G5" s="435" t="s">
        <v>1143</v>
      </c>
      <c r="H5" s="432" t="s">
        <v>1146</v>
      </c>
      <c r="I5" s="110"/>
    </row>
    <row r="6">
      <c r="A6" s="38">
        <v>46338.0</v>
      </c>
      <c r="B6" s="58">
        <v>5.0</v>
      </c>
      <c r="C6" s="44" t="s">
        <v>573</v>
      </c>
      <c r="D6" s="58" t="s">
        <v>1153</v>
      </c>
      <c r="E6" s="58"/>
      <c r="F6" s="58"/>
      <c r="G6" s="58"/>
      <c r="H6" s="432" t="s">
        <v>1154</v>
      </c>
      <c r="I6" s="110"/>
    </row>
    <row r="7">
      <c r="A7" s="38">
        <v>46339.0</v>
      </c>
      <c r="B7" s="58">
        <v>6.0</v>
      </c>
      <c r="C7" s="44" t="s">
        <v>573</v>
      </c>
      <c r="D7" s="58" t="s">
        <v>1160</v>
      </c>
      <c r="E7" s="110"/>
      <c r="F7" s="110"/>
      <c r="G7" s="110"/>
      <c r="H7" s="432" t="s">
        <v>1154</v>
      </c>
      <c r="I7" s="110"/>
    </row>
    <row r="8">
      <c r="A8" s="38">
        <v>46340.0</v>
      </c>
      <c r="B8" s="58">
        <v>7.0</v>
      </c>
      <c r="C8" s="44" t="s">
        <v>573</v>
      </c>
      <c r="D8" s="58" t="s">
        <v>1162</v>
      </c>
      <c r="E8" s="58"/>
      <c r="F8" s="58"/>
      <c r="G8" s="435" t="s">
        <v>1163</v>
      </c>
      <c r="H8" s="432" t="s">
        <v>1167</v>
      </c>
      <c r="I8" s="110"/>
    </row>
    <row r="9">
      <c r="A9" s="38">
        <v>46341.0</v>
      </c>
      <c r="B9" s="58">
        <v>8.0</v>
      </c>
      <c r="C9" s="44" t="s">
        <v>1171</v>
      </c>
      <c r="D9" s="58" t="s">
        <v>1175</v>
      </c>
      <c r="E9" s="58" t="s">
        <v>1177</v>
      </c>
      <c r="F9" s="58" t="s">
        <v>1178</v>
      </c>
      <c r="G9" s="110"/>
      <c r="H9" s="432" t="s">
        <v>1179</v>
      </c>
      <c r="I9" s="110"/>
    </row>
    <row r="10">
      <c r="A10" s="38">
        <v>46342.0</v>
      </c>
      <c r="B10" s="58">
        <v>9.0</v>
      </c>
      <c r="C10" s="44" t="s">
        <v>1184</v>
      </c>
      <c r="D10" s="58" t="s">
        <v>1185</v>
      </c>
      <c r="E10" s="58" t="s">
        <v>1186</v>
      </c>
      <c r="F10" s="58" t="s">
        <v>1178</v>
      </c>
      <c r="G10" s="58" t="s">
        <v>1187</v>
      </c>
      <c r="H10" s="432" t="s">
        <v>1188</v>
      </c>
      <c r="I10" s="110"/>
    </row>
    <row r="11">
      <c r="A11" s="38">
        <v>46343.0</v>
      </c>
      <c r="B11" s="58">
        <v>10.0</v>
      </c>
      <c r="C11" s="44" t="s">
        <v>1192</v>
      </c>
      <c r="D11" s="58" t="s">
        <v>1193</v>
      </c>
      <c r="E11" s="58" t="s">
        <v>1186</v>
      </c>
      <c r="F11" s="58" t="s">
        <v>1194</v>
      </c>
      <c r="G11" s="58" t="s">
        <v>1195</v>
      </c>
      <c r="H11" s="432" t="s">
        <v>1196</v>
      </c>
      <c r="I11" s="110"/>
    </row>
    <row r="12">
      <c r="A12" s="38">
        <v>46344.0</v>
      </c>
      <c r="B12" s="58">
        <v>11.0</v>
      </c>
      <c r="C12" s="44" t="s">
        <v>1207</v>
      </c>
      <c r="D12" s="58" t="s">
        <v>1210</v>
      </c>
      <c r="E12" s="110"/>
      <c r="F12" s="110"/>
      <c r="G12" s="110"/>
      <c r="H12" s="432" t="s">
        <v>1211</v>
      </c>
      <c r="I12" s="110"/>
    </row>
    <row r="13">
      <c r="C13" s="442"/>
      <c r="H13" s="443"/>
    </row>
    <row r="14">
      <c r="C14" s="442"/>
      <c r="H14" s="443"/>
    </row>
    <row r="15">
      <c r="C15" s="442"/>
      <c r="H15" s="443"/>
    </row>
    <row r="16">
      <c r="C16" s="442"/>
      <c r="H16" s="443"/>
    </row>
    <row r="17">
      <c r="C17" s="442"/>
      <c r="H17" s="443"/>
    </row>
    <row r="18">
      <c r="C18" s="442"/>
      <c r="H18" s="443"/>
    </row>
    <row r="19">
      <c r="C19" s="442"/>
      <c r="H19" s="443"/>
    </row>
    <row r="20">
      <c r="C20" s="442"/>
      <c r="H20" s="443"/>
    </row>
    <row r="21">
      <c r="C21" s="442"/>
      <c r="H21" s="443"/>
    </row>
    <row r="22">
      <c r="C22" s="442"/>
      <c r="H22" s="443"/>
    </row>
    <row r="23">
      <c r="C23" s="442"/>
      <c r="H23" s="443"/>
    </row>
    <row r="24">
      <c r="C24" s="442"/>
      <c r="H24" s="443"/>
    </row>
    <row r="25">
      <c r="C25" s="442"/>
      <c r="H25" s="443"/>
    </row>
    <row r="26">
      <c r="C26" s="442"/>
      <c r="H26" s="443"/>
    </row>
    <row r="27">
      <c r="C27" s="442"/>
      <c r="H27" s="443"/>
    </row>
    <row r="28">
      <c r="C28" s="442"/>
      <c r="H28" s="443"/>
    </row>
    <row r="29">
      <c r="C29" s="442"/>
      <c r="H29" s="443"/>
    </row>
    <row r="30">
      <c r="C30" s="442"/>
      <c r="H30" s="443"/>
    </row>
    <row r="31">
      <c r="C31" s="442"/>
      <c r="H31" s="443"/>
    </row>
    <row r="32">
      <c r="C32" s="442"/>
      <c r="H32" s="443"/>
    </row>
    <row r="33">
      <c r="C33" s="442"/>
      <c r="H33" s="443"/>
    </row>
    <row r="34">
      <c r="C34" s="442"/>
      <c r="H34" s="443"/>
    </row>
    <row r="35">
      <c r="C35" s="442"/>
      <c r="H35" s="443"/>
    </row>
    <row r="36">
      <c r="C36" s="442"/>
      <c r="H36" s="443"/>
    </row>
    <row r="37">
      <c r="C37" s="442"/>
      <c r="H37" s="443"/>
    </row>
    <row r="38">
      <c r="C38" s="442"/>
      <c r="H38" s="443"/>
    </row>
    <row r="39">
      <c r="C39" s="442"/>
      <c r="H39" s="443"/>
    </row>
    <row r="40">
      <c r="C40" s="442"/>
      <c r="H40" s="443"/>
    </row>
    <row r="41">
      <c r="C41" s="442"/>
      <c r="H41" s="443"/>
    </row>
    <row r="42">
      <c r="C42" s="442"/>
      <c r="H42" s="443"/>
    </row>
    <row r="43">
      <c r="C43" s="442"/>
      <c r="H43" s="443"/>
    </row>
    <row r="44">
      <c r="C44" s="442"/>
      <c r="H44" s="443"/>
    </row>
    <row r="45">
      <c r="C45" s="442"/>
      <c r="H45" s="443"/>
    </row>
    <row r="46">
      <c r="C46" s="442"/>
      <c r="H46" s="443"/>
    </row>
    <row r="47">
      <c r="C47" s="442"/>
      <c r="H47" s="443"/>
    </row>
    <row r="48">
      <c r="C48" s="442"/>
      <c r="H48" s="443"/>
    </row>
    <row r="49">
      <c r="C49" s="442"/>
      <c r="H49" s="443"/>
    </row>
    <row r="50">
      <c r="C50" s="442"/>
      <c r="H50" s="443"/>
    </row>
    <row r="51">
      <c r="C51" s="442"/>
      <c r="H51" s="443"/>
    </row>
    <row r="52">
      <c r="C52" s="442"/>
      <c r="H52" s="443"/>
    </row>
    <row r="53">
      <c r="C53" s="442"/>
      <c r="H53" s="443"/>
    </row>
    <row r="54">
      <c r="C54" s="442"/>
      <c r="H54" s="443"/>
    </row>
    <row r="55">
      <c r="C55" s="442"/>
      <c r="H55" s="443"/>
    </row>
    <row r="56">
      <c r="C56" s="442"/>
      <c r="H56" s="443"/>
    </row>
    <row r="57">
      <c r="C57" s="442"/>
      <c r="H57" s="443"/>
    </row>
    <row r="58">
      <c r="C58" s="442"/>
      <c r="H58" s="443"/>
    </row>
    <row r="59">
      <c r="C59" s="442"/>
      <c r="H59" s="443"/>
    </row>
    <row r="60">
      <c r="C60" s="442"/>
      <c r="H60" s="443"/>
    </row>
    <row r="61">
      <c r="C61" s="442"/>
      <c r="H61" s="443"/>
    </row>
    <row r="62">
      <c r="C62" s="442"/>
      <c r="H62" s="443"/>
    </row>
    <row r="63">
      <c r="C63" s="442"/>
      <c r="H63" s="443"/>
    </row>
    <row r="64">
      <c r="C64" s="442"/>
      <c r="H64" s="443"/>
    </row>
    <row r="65">
      <c r="C65" s="442"/>
      <c r="H65" s="443"/>
    </row>
    <row r="66">
      <c r="C66" s="442"/>
      <c r="H66" s="443"/>
    </row>
    <row r="67">
      <c r="C67" s="442"/>
      <c r="H67" s="443"/>
    </row>
    <row r="68">
      <c r="C68" s="442"/>
      <c r="H68" s="443"/>
    </row>
    <row r="69">
      <c r="C69" s="442"/>
      <c r="H69" s="443"/>
    </row>
    <row r="70">
      <c r="C70" s="442"/>
      <c r="H70" s="443"/>
    </row>
    <row r="71">
      <c r="C71" s="442"/>
      <c r="H71" s="443"/>
    </row>
    <row r="72">
      <c r="C72" s="442"/>
      <c r="H72" s="443"/>
    </row>
    <row r="73">
      <c r="C73" s="442"/>
      <c r="H73" s="443"/>
    </row>
    <row r="74">
      <c r="C74" s="442"/>
      <c r="H74" s="443"/>
    </row>
    <row r="75">
      <c r="C75" s="442"/>
      <c r="H75" s="443"/>
    </row>
    <row r="76">
      <c r="C76" s="442"/>
      <c r="H76" s="443"/>
    </row>
    <row r="77">
      <c r="C77" s="442"/>
      <c r="H77" s="443"/>
    </row>
    <row r="78">
      <c r="C78" s="442"/>
      <c r="H78" s="443"/>
    </row>
    <row r="79">
      <c r="C79" s="442"/>
      <c r="H79" s="443"/>
    </row>
    <row r="80">
      <c r="C80" s="442"/>
      <c r="H80" s="443"/>
    </row>
    <row r="81">
      <c r="C81" s="442"/>
      <c r="H81" s="443"/>
    </row>
    <row r="82">
      <c r="C82" s="442"/>
      <c r="H82" s="443"/>
    </row>
    <row r="83">
      <c r="C83" s="442"/>
      <c r="H83" s="443"/>
    </row>
    <row r="84">
      <c r="C84" s="442"/>
      <c r="H84" s="443"/>
    </row>
    <row r="85">
      <c r="C85" s="442"/>
      <c r="H85" s="443"/>
    </row>
    <row r="86">
      <c r="C86" s="442"/>
      <c r="H86" s="443"/>
    </row>
    <row r="87">
      <c r="C87" s="442"/>
      <c r="H87" s="443"/>
    </row>
    <row r="88">
      <c r="C88" s="442"/>
      <c r="H88" s="443"/>
    </row>
    <row r="89">
      <c r="C89" s="442"/>
      <c r="H89" s="443"/>
    </row>
    <row r="90">
      <c r="C90" s="442"/>
      <c r="H90" s="443"/>
    </row>
    <row r="91">
      <c r="C91" s="442"/>
      <c r="H91" s="443"/>
    </row>
    <row r="92">
      <c r="C92" s="442"/>
      <c r="H92" s="443"/>
    </row>
    <row r="93">
      <c r="C93" s="442"/>
      <c r="H93" s="443"/>
    </row>
    <row r="94">
      <c r="C94" s="442"/>
      <c r="H94" s="443"/>
    </row>
    <row r="95">
      <c r="C95" s="442"/>
      <c r="H95" s="443"/>
    </row>
    <row r="96">
      <c r="C96" s="442"/>
      <c r="H96" s="443"/>
    </row>
    <row r="97">
      <c r="C97" s="442"/>
      <c r="H97" s="443"/>
    </row>
    <row r="98">
      <c r="C98" s="442"/>
      <c r="H98" s="443"/>
    </row>
    <row r="99">
      <c r="C99" s="442"/>
      <c r="H99" s="443"/>
    </row>
    <row r="100">
      <c r="C100" s="442"/>
      <c r="H100" s="443"/>
    </row>
    <row r="101">
      <c r="C101" s="442"/>
      <c r="H101" s="443"/>
    </row>
    <row r="102">
      <c r="C102" s="442"/>
      <c r="H102" s="443"/>
    </row>
    <row r="103">
      <c r="C103" s="442"/>
      <c r="H103" s="443"/>
    </row>
    <row r="104">
      <c r="C104" s="442"/>
      <c r="H104" s="443"/>
    </row>
    <row r="105">
      <c r="C105" s="442"/>
      <c r="H105" s="443"/>
    </row>
    <row r="106">
      <c r="C106" s="442"/>
      <c r="H106" s="443"/>
    </row>
    <row r="107">
      <c r="C107" s="442"/>
      <c r="H107" s="443"/>
    </row>
    <row r="108">
      <c r="C108" s="442"/>
      <c r="H108" s="443"/>
    </row>
    <row r="109">
      <c r="C109" s="442"/>
      <c r="H109" s="443"/>
    </row>
    <row r="110">
      <c r="C110" s="442"/>
      <c r="H110" s="443"/>
    </row>
    <row r="111">
      <c r="C111" s="442"/>
      <c r="H111" s="443"/>
    </row>
    <row r="112">
      <c r="C112" s="442"/>
      <c r="H112" s="443"/>
    </row>
    <row r="113">
      <c r="C113" s="442"/>
      <c r="H113" s="443"/>
    </row>
    <row r="114">
      <c r="C114" s="442"/>
      <c r="H114" s="443"/>
    </row>
    <row r="115">
      <c r="C115" s="442"/>
      <c r="H115" s="443"/>
    </row>
    <row r="116">
      <c r="C116" s="442"/>
      <c r="H116" s="443"/>
    </row>
    <row r="117">
      <c r="C117" s="442"/>
      <c r="H117" s="443"/>
    </row>
    <row r="118">
      <c r="C118" s="442"/>
      <c r="H118" s="443"/>
    </row>
    <row r="119">
      <c r="C119" s="442"/>
      <c r="H119" s="443"/>
    </row>
    <row r="120">
      <c r="C120" s="442"/>
      <c r="H120" s="443"/>
    </row>
    <row r="121">
      <c r="C121" s="442"/>
      <c r="H121" s="443"/>
    </row>
    <row r="122">
      <c r="C122" s="442"/>
      <c r="H122" s="443"/>
    </row>
    <row r="123">
      <c r="C123" s="442"/>
      <c r="H123" s="443"/>
    </row>
    <row r="124">
      <c r="C124" s="442"/>
      <c r="H124" s="443"/>
    </row>
    <row r="125">
      <c r="C125" s="442"/>
      <c r="H125" s="443"/>
    </row>
    <row r="126">
      <c r="C126" s="442"/>
      <c r="H126" s="443"/>
    </row>
    <row r="127">
      <c r="C127" s="442"/>
      <c r="H127" s="443"/>
    </row>
    <row r="128">
      <c r="C128" s="442"/>
      <c r="H128" s="443"/>
    </row>
    <row r="129">
      <c r="C129" s="442"/>
      <c r="H129" s="443"/>
    </row>
    <row r="130">
      <c r="C130" s="442"/>
      <c r="H130" s="443"/>
    </row>
    <row r="131">
      <c r="C131" s="442"/>
      <c r="H131" s="443"/>
    </row>
    <row r="132">
      <c r="C132" s="442"/>
      <c r="H132" s="443"/>
    </row>
    <row r="133">
      <c r="C133" s="442"/>
      <c r="H133" s="443"/>
    </row>
    <row r="134">
      <c r="C134" s="442"/>
      <c r="H134" s="443"/>
    </row>
    <row r="135">
      <c r="C135" s="442"/>
      <c r="H135" s="443"/>
    </row>
    <row r="136">
      <c r="C136" s="442"/>
      <c r="H136" s="443"/>
    </row>
    <row r="137">
      <c r="C137" s="442"/>
      <c r="H137" s="443"/>
    </row>
    <row r="138">
      <c r="C138" s="442"/>
      <c r="H138" s="443"/>
    </row>
    <row r="139">
      <c r="C139" s="442"/>
      <c r="H139" s="443"/>
    </row>
    <row r="140">
      <c r="C140" s="442"/>
      <c r="H140" s="443"/>
    </row>
    <row r="141">
      <c r="C141" s="442"/>
      <c r="H141" s="443"/>
    </row>
    <row r="142">
      <c r="C142" s="442"/>
      <c r="H142" s="443"/>
    </row>
    <row r="143">
      <c r="C143" s="442"/>
      <c r="H143" s="443"/>
    </row>
    <row r="144">
      <c r="C144" s="442"/>
      <c r="H144" s="443"/>
    </row>
    <row r="145">
      <c r="C145" s="442"/>
      <c r="H145" s="443"/>
    </row>
    <row r="146">
      <c r="C146" s="442"/>
      <c r="H146" s="443"/>
    </row>
    <row r="147">
      <c r="C147" s="442"/>
      <c r="H147" s="443"/>
    </row>
    <row r="148">
      <c r="C148" s="442"/>
      <c r="H148" s="443"/>
    </row>
    <row r="149">
      <c r="C149" s="442"/>
      <c r="H149" s="443"/>
    </row>
    <row r="150">
      <c r="C150" s="442"/>
      <c r="H150" s="443"/>
    </row>
    <row r="151">
      <c r="C151" s="442"/>
      <c r="H151" s="443"/>
    </row>
    <row r="152">
      <c r="C152" s="442"/>
      <c r="H152" s="443"/>
    </row>
    <row r="153">
      <c r="C153" s="442"/>
      <c r="H153" s="443"/>
    </row>
    <row r="154">
      <c r="C154" s="442"/>
      <c r="H154" s="443"/>
    </row>
    <row r="155">
      <c r="C155" s="442"/>
      <c r="H155" s="443"/>
    </row>
    <row r="156">
      <c r="C156" s="442"/>
      <c r="H156" s="443"/>
    </row>
    <row r="157">
      <c r="C157" s="442"/>
      <c r="H157" s="443"/>
    </row>
    <row r="158">
      <c r="C158" s="442"/>
      <c r="H158" s="443"/>
    </row>
    <row r="159">
      <c r="C159" s="442"/>
      <c r="H159" s="443"/>
    </row>
    <row r="160">
      <c r="C160" s="442"/>
      <c r="H160" s="443"/>
    </row>
    <row r="161">
      <c r="C161" s="442"/>
      <c r="H161" s="443"/>
    </row>
    <row r="162">
      <c r="C162" s="442"/>
      <c r="H162" s="443"/>
    </row>
    <row r="163">
      <c r="C163" s="442"/>
      <c r="H163" s="443"/>
    </row>
    <row r="164">
      <c r="C164" s="442"/>
      <c r="H164" s="443"/>
    </row>
    <row r="165">
      <c r="C165" s="442"/>
      <c r="H165" s="443"/>
    </row>
    <row r="166">
      <c r="C166" s="442"/>
      <c r="H166" s="443"/>
    </row>
    <row r="167">
      <c r="C167" s="442"/>
      <c r="H167" s="443"/>
    </row>
    <row r="168">
      <c r="C168" s="442"/>
      <c r="H168" s="443"/>
    </row>
    <row r="169">
      <c r="C169" s="442"/>
      <c r="H169" s="443"/>
    </row>
    <row r="170">
      <c r="C170" s="442"/>
      <c r="H170" s="443"/>
    </row>
    <row r="171">
      <c r="C171" s="442"/>
      <c r="H171" s="443"/>
    </row>
    <row r="172">
      <c r="C172" s="442"/>
      <c r="H172" s="443"/>
    </row>
    <row r="173">
      <c r="C173" s="442"/>
      <c r="H173" s="443"/>
    </row>
    <row r="174">
      <c r="C174" s="442"/>
      <c r="H174" s="443"/>
    </row>
    <row r="175">
      <c r="C175" s="442"/>
      <c r="H175" s="443"/>
    </row>
    <row r="176">
      <c r="C176" s="442"/>
      <c r="H176" s="443"/>
    </row>
    <row r="177">
      <c r="C177" s="442"/>
      <c r="H177" s="443"/>
    </row>
    <row r="178">
      <c r="C178" s="442"/>
      <c r="H178" s="443"/>
    </row>
    <row r="179">
      <c r="C179" s="442"/>
      <c r="H179" s="443"/>
    </row>
    <row r="180">
      <c r="C180" s="442"/>
      <c r="H180" s="443"/>
    </row>
    <row r="181">
      <c r="C181" s="442"/>
      <c r="H181" s="443"/>
    </row>
    <row r="182">
      <c r="C182" s="442"/>
      <c r="H182" s="443"/>
    </row>
    <row r="183">
      <c r="C183" s="442"/>
      <c r="H183" s="443"/>
    </row>
    <row r="184">
      <c r="C184" s="442"/>
      <c r="H184" s="443"/>
    </row>
    <row r="185">
      <c r="C185" s="442"/>
      <c r="H185" s="443"/>
    </row>
    <row r="186">
      <c r="C186" s="442"/>
      <c r="H186" s="443"/>
    </row>
    <row r="187">
      <c r="C187" s="442"/>
      <c r="H187" s="443"/>
    </row>
    <row r="188">
      <c r="C188" s="442"/>
      <c r="H188" s="443"/>
    </row>
    <row r="189">
      <c r="C189" s="442"/>
      <c r="H189" s="443"/>
    </row>
    <row r="190">
      <c r="C190" s="442"/>
      <c r="H190" s="443"/>
    </row>
    <row r="191">
      <c r="C191" s="442"/>
      <c r="H191" s="443"/>
    </row>
    <row r="192">
      <c r="C192" s="442"/>
      <c r="H192" s="443"/>
    </row>
    <row r="193">
      <c r="C193" s="442"/>
      <c r="H193" s="443"/>
    </row>
    <row r="194">
      <c r="C194" s="442"/>
      <c r="H194" s="443"/>
    </row>
    <row r="195">
      <c r="C195" s="442"/>
      <c r="H195" s="443"/>
    </row>
    <row r="196">
      <c r="C196" s="442"/>
      <c r="H196" s="443"/>
    </row>
    <row r="197">
      <c r="C197" s="442"/>
      <c r="H197" s="443"/>
    </row>
    <row r="198">
      <c r="C198" s="442"/>
      <c r="H198" s="443"/>
    </row>
    <row r="199">
      <c r="C199" s="442"/>
      <c r="H199" s="443"/>
    </row>
    <row r="200">
      <c r="C200" s="442"/>
      <c r="H200" s="443"/>
    </row>
    <row r="201">
      <c r="C201" s="442"/>
      <c r="H201" s="443"/>
    </row>
    <row r="202">
      <c r="C202" s="442"/>
      <c r="H202" s="443"/>
    </row>
    <row r="203">
      <c r="C203" s="442"/>
      <c r="H203" s="443"/>
    </row>
    <row r="204">
      <c r="C204" s="442"/>
      <c r="H204" s="443"/>
    </row>
    <row r="205">
      <c r="C205" s="442"/>
      <c r="H205" s="443"/>
    </row>
    <row r="206">
      <c r="C206" s="442"/>
      <c r="H206" s="443"/>
    </row>
    <row r="207">
      <c r="C207" s="442"/>
      <c r="H207" s="443"/>
    </row>
    <row r="208">
      <c r="C208" s="442"/>
      <c r="H208" s="443"/>
    </row>
    <row r="209">
      <c r="C209" s="442"/>
      <c r="H209" s="443"/>
    </row>
    <row r="210">
      <c r="C210" s="442"/>
      <c r="H210" s="443"/>
    </row>
    <row r="211">
      <c r="C211" s="442"/>
      <c r="H211" s="443"/>
    </row>
    <row r="212">
      <c r="C212" s="442"/>
      <c r="H212" s="443"/>
    </row>
    <row r="213">
      <c r="C213" s="442"/>
      <c r="H213" s="443"/>
    </row>
    <row r="214">
      <c r="C214" s="442"/>
      <c r="H214" s="443"/>
    </row>
    <row r="215">
      <c r="C215" s="442"/>
      <c r="H215" s="443"/>
    </row>
    <row r="216">
      <c r="C216" s="442"/>
      <c r="H216" s="443"/>
    </row>
    <row r="217">
      <c r="C217" s="442"/>
      <c r="H217" s="443"/>
    </row>
    <row r="218">
      <c r="C218" s="442"/>
      <c r="H218" s="443"/>
    </row>
    <row r="219">
      <c r="C219" s="442"/>
      <c r="H219" s="443"/>
    </row>
    <row r="220">
      <c r="C220" s="442"/>
      <c r="H220" s="443"/>
    </row>
    <row r="221">
      <c r="C221" s="442"/>
      <c r="H221" s="443"/>
    </row>
    <row r="222">
      <c r="C222" s="442"/>
      <c r="H222" s="443"/>
    </row>
    <row r="223">
      <c r="C223" s="442"/>
      <c r="H223" s="443"/>
    </row>
    <row r="224">
      <c r="C224" s="442"/>
      <c r="H224" s="443"/>
    </row>
    <row r="225">
      <c r="C225" s="442"/>
      <c r="H225" s="443"/>
    </row>
    <row r="226">
      <c r="C226" s="442"/>
      <c r="H226" s="443"/>
    </row>
    <row r="227">
      <c r="C227" s="442"/>
      <c r="H227" s="443"/>
    </row>
    <row r="228">
      <c r="C228" s="442"/>
      <c r="H228" s="443"/>
    </row>
    <row r="229">
      <c r="C229" s="442"/>
      <c r="H229" s="443"/>
    </row>
    <row r="230">
      <c r="C230" s="442"/>
      <c r="H230" s="443"/>
    </row>
    <row r="231">
      <c r="C231" s="442"/>
      <c r="H231" s="443"/>
    </row>
    <row r="232">
      <c r="C232" s="442"/>
      <c r="H232" s="443"/>
    </row>
    <row r="233">
      <c r="C233" s="442"/>
      <c r="H233" s="443"/>
    </row>
    <row r="234">
      <c r="C234" s="442"/>
      <c r="H234" s="443"/>
    </row>
    <row r="235">
      <c r="C235" s="442"/>
      <c r="H235" s="443"/>
    </row>
    <row r="236">
      <c r="C236" s="442"/>
      <c r="H236" s="443"/>
    </row>
    <row r="237">
      <c r="C237" s="442"/>
      <c r="H237" s="443"/>
    </row>
    <row r="238">
      <c r="C238" s="442"/>
      <c r="H238" s="443"/>
    </row>
    <row r="239">
      <c r="C239" s="442"/>
      <c r="H239" s="443"/>
    </row>
    <row r="240">
      <c r="C240" s="442"/>
      <c r="H240" s="443"/>
    </row>
    <row r="241">
      <c r="C241" s="442"/>
      <c r="H241" s="443"/>
    </row>
    <row r="242">
      <c r="C242" s="442"/>
      <c r="H242" s="443"/>
    </row>
    <row r="243">
      <c r="C243" s="442"/>
      <c r="H243" s="443"/>
    </row>
    <row r="244">
      <c r="C244" s="442"/>
      <c r="H244" s="443"/>
    </row>
    <row r="245">
      <c r="C245" s="442"/>
      <c r="H245" s="443"/>
    </row>
    <row r="246">
      <c r="C246" s="442"/>
      <c r="H246" s="443"/>
    </row>
    <row r="247">
      <c r="C247" s="442"/>
      <c r="H247" s="443"/>
    </row>
    <row r="248">
      <c r="C248" s="442"/>
      <c r="H248" s="443"/>
    </row>
    <row r="249">
      <c r="C249" s="442"/>
      <c r="H249" s="443"/>
    </row>
    <row r="250">
      <c r="C250" s="442"/>
      <c r="H250" s="443"/>
    </row>
    <row r="251">
      <c r="C251" s="442"/>
      <c r="H251" s="443"/>
    </row>
    <row r="252">
      <c r="C252" s="442"/>
      <c r="H252" s="443"/>
    </row>
    <row r="253">
      <c r="C253" s="442"/>
      <c r="H253" s="443"/>
    </row>
    <row r="254">
      <c r="C254" s="442"/>
      <c r="H254" s="443"/>
    </row>
    <row r="255">
      <c r="C255" s="442"/>
      <c r="H255" s="443"/>
    </row>
    <row r="256">
      <c r="C256" s="442"/>
      <c r="H256" s="443"/>
    </row>
    <row r="257">
      <c r="C257" s="442"/>
      <c r="H257" s="443"/>
    </row>
    <row r="258">
      <c r="C258" s="442"/>
      <c r="H258" s="443"/>
    </row>
    <row r="259">
      <c r="C259" s="442"/>
      <c r="H259" s="443"/>
    </row>
    <row r="260">
      <c r="C260" s="442"/>
      <c r="H260" s="443"/>
    </row>
    <row r="261">
      <c r="C261" s="442"/>
      <c r="H261" s="443"/>
    </row>
    <row r="262">
      <c r="C262" s="442"/>
      <c r="H262" s="443"/>
    </row>
    <row r="263">
      <c r="C263" s="442"/>
      <c r="H263" s="443"/>
    </row>
    <row r="264">
      <c r="C264" s="442"/>
      <c r="H264" s="443"/>
    </row>
    <row r="265">
      <c r="C265" s="442"/>
      <c r="H265" s="443"/>
    </row>
    <row r="266">
      <c r="C266" s="442"/>
      <c r="H266" s="443"/>
    </row>
    <row r="267">
      <c r="C267" s="442"/>
      <c r="H267" s="443"/>
    </row>
    <row r="268">
      <c r="C268" s="442"/>
      <c r="H268" s="443"/>
    </row>
    <row r="269">
      <c r="C269" s="442"/>
      <c r="H269" s="443"/>
    </row>
    <row r="270">
      <c r="C270" s="442"/>
      <c r="H270" s="443"/>
    </row>
    <row r="271">
      <c r="C271" s="442"/>
      <c r="H271" s="443"/>
    </row>
    <row r="272">
      <c r="C272" s="442"/>
      <c r="H272" s="443"/>
    </row>
    <row r="273">
      <c r="C273" s="442"/>
      <c r="H273" s="443"/>
    </row>
    <row r="274">
      <c r="C274" s="442"/>
      <c r="H274" s="443"/>
    </row>
    <row r="275">
      <c r="C275" s="442"/>
      <c r="H275" s="443"/>
    </row>
    <row r="276">
      <c r="C276" s="442"/>
      <c r="H276" s="443"/>
    </row>
    <row r="277">
      <c r="C277" s="442"/>
      <c r="H277" s="443"/>
    </row>
    <row r="278">
      <c r="C278" s="442"/>
      <c r="H278" s="443"/>
    </row>
    <row r="279">
      <c r="C279" s="442"/>
      <c r="H279" s="443"/>
    </row>
    <row r="280">
      <c r="C280" s="442"/>
      <c r="H280" s="443"/>
    </row>
    <row r="281">
      <c r="C281" s="442"/>
      <c r="H281" s="443"/>
    </row>
    <row r="282">
      <c r="C282" s="442"/>
      <c r="H282" s="443"/>
    </row>
    <row r="283">
      <c r="C283" s="442"/>
      <c r="H283" s="443"/>
    </row>
    <row r="284">
      <c r="C284" s="442"/>
      <c r="H284" s="443"/>
    </row>
    <row r="285">
      <c r="C285" s="442"/>
      <c r="H285" s="443"/>
    </row>
    <row r="286">
      <c r="C286" s="442"/>
      <c r="H286" s="443"/>
    </row>
    <row r="287">
      <c r="C287" s="442"/>
      <c r="H287" s="443"/>
    </row>
    <row r="288">
      <c r="C288" s="442"/>
      <c r="H288" s="443"/>
    </row>
    <row r="289">
      <c r="C289" s="442"/>
      <c r="H289" s="443"/>
    </row>
    <row r="290">
      <c r="C290" s="442"/>
      <c r="H290" s="443"/>
    </row>
    <row r="291">
      <c r="C291" s="442"/>
      <c r="H291" s="443"/>
    </row>
    <row r="292">
      <c r="C292" s="442"/>
      <c r="H292" s="443"/>
    </row>
    <row r="293">
      <c r="C293" s="442"/>
      <c r="H293" s="443"/>
    </row>
    <row r="294">
      <c r="C294" s="442"/>
      <c r="H294" s="443"/>
    </row>
    <row r="295">
      <c r="C295" s="442"/>
      <c r="H295" s="443"/>
    </row>
    <row r="296">
      <c r="C296" s="442"/>
      <c r="H296" s="443"/>
    </row>
    <row r="297">
      <c r="C297" s="442"/>
      <c r="H297" s="443"/>
    </row>
    <row r="298">
      <c r="C298" s="442"/>
      <c r="H298" s="443"/>
    </row>
    <row r="299">
      <c r="C299" s="442"/>
      <c r="H299" s="443"/>
    </row>
    <row r="300">
      <c r="C300" s="442"/>
      <c r="H300" s="443"/>
    </row>
    <row r="301">
      <c r="C301" s="442"/>
      <c r="H301" s="443"/>
    </row>
    <row r="302">
      <c r="C302" s="442"/>
      <c r="H302" s="443"/>
    </row>
    <row r="303">
      <c r="C303" s="442"/>
      <c r="H303" s="443"/>
    </row>
    <row r="304">
      <c r="C304" s="442"/>
      <c r="H304" s="443"/>
    </row>
    <row r="305">
      <c r="C305" s="442"/>
      <c r="H305" s="443"/>
    </row>
    <row r="306">
      <c r="C306" s="442"/>
      <c r="H306" s="443"/>
    </row>
    <row r="307">
      <c r="C307" s="442"/>
      <c r="H307" s="443"/>
    </row>
    <row r="308">
      <c r="C308" s="442"/>
      <c r="H308" s="443"/>
    </row>
    <row r="309">
      <c r="C309" s="442"/>
      <c r="H309" s="443"/>
    </row>
    <row r="310">
      <c r="C310" s="442"/>
      <c r="H310" s="443"/>
    </row>
    <row r="311">
      <c r="C311" s="442"/>
      <c r="H311" s="443"/>
    </row>
    <row r="312">
      <c r="C312" s="442"/>
      <c r="H312" s="443"/>
    </row>
    <row r="313">
      <c r="C313" s="442"/>
      <c r="H313" s="443"/>
    </row>
    <row r="314">
      <c r="C314" s="442"/>
      <c r="H314" s="443"/>
    </row>
    <row r="315">
      <c r="C315" s="442"/>
      <c r="H315" s="443"/>
    </row>
    <row r="316">
      <c r="C316" s="442"/>
      <c r="H316" s="443"/>
    </row>
    <row r="317">
      <c r="C317" s="442"/>
      <c r="H317" s="443"/>
    </row>
    <row r="318">
      <c r="C318" s="442"/>
      <c r="H318" s="443"/>
    </row>
    <row r="319">
      <c r="C319" s="442"/>
      <c r="H319" s="443"/>
    </row>
    <row r="320">
      <c r="C320" s="442"/>
      <c r="H320" s="443"/>
    </row>
    <row r="321">
      <c r="C321" s="442"/>
      <c r="H321" s="443"/>
    </row>
    <row r="322">
      <c r="C322" s="442"/>
      <c r="H322" s="443"/>
    </row>
    <row r="323">
      <c r="C323" s="442"/>
      <c r="H323" s="443"/>
    </row>
    <row r="324">
      <c r="C324" s="442"/>
      <c r="H324" s="443"/>
    </row>
    <row r="325">
      <c r="C325" s="442"/>
      <c r="H325" s="443"/>
    </row>
    <row r="326">
      <c r="C326" s="442"/>
      <c r="H326" s="443"/>
    </row>
    <row r="327">
      <c r="C327" s="442"/>
      <c r="H327" s="443"/>
    </row>
    <row r="328">
      <c r="C328" s="442"/>
      <c r="H328" s="443"/>
    </row>
    <row r="329">
      <c r="C329" s="442"/>
      <c r="H329" s="443"/>
    </row>
    <row r="330">
      <c r="C330" s="442"/>
      <c r="H330" s="443"/>
    </row>
    <row r="331">
      <c r="C331" s="442"/>
      <c r="H331" s="443"/>
    </row>
    <row r="332">
      <c r="C332" s="442"/>
      <c r="H332" s="443"/>
    </row>
    <row r="333">
      <c r="C333" s="442"/>
      <c r="H333" s="443"/>
    </row>
    <row r="334">
      <c r="C334" s="442"/>
      <c r="H334" s="443"/>
    </row>
    <row r="335">
      <c r="C335" s="442"/>
      <c r="H335" s="443"/>
    </row>
    <row r="336">
      <c r="C336" s="442"/>
      <c r="H336" s="443"/>
    </row>
    <row r="337">
      <c r="C337" s="442"/>
      <c r="H337" s="443"/>
    </row>
    <row r="338">
      <c r="C338" s="442"/>
      <c r="H338" s="443"/>
    </row>
    <row r="339">
      <c r="C339" s="442"/>
      <c r="H339" s="443"/>
    </row>
    <row r="340">
      <c r="C340" s="442"/>
      <c r="H340" s="443"/>
    </row>
    <row r="341">
      <c r="C341" s="442"/>
      <c r="H341" s="443"/>
    </row>
    <row r="342">
      <c r="C342" s="442"/>
      <c r="H342" s="443"/>
    </row>
    <row r="343">
      <c r="C343" s="442"/>
      <c r="H343" s="443"/>
    </row>
    <row r="344">
      <c r="C344" s="442"/>
      <c r="H344" s="443"/>
    </row>
    <row r="345">
      <c r="C345" s="442"/>
      <c r="H345" s="443"/>
    </row>
    <row r="346">
      <c r="C346" s="442"/>
      <c r="H346" s="443"/>
    </row>
    <row r="347">
      <c r="C347" s="442"/>
      <c r="H347" s="443"/>
    </row>
    <row r="348">
      <c r="C348" s="442"/>
      <c r="H348" s="443"/>
    </row>
    <row r="349">
      <c r="C349" s="442"/>
      <c r="H349" s="443"/>
    </row>
    <row r="350">
      <c r="C350" s="442"/>
      <c r="H350" s="443"/>
    </row>
    <row r="351">
      <c r="C351" s="442"/>
      <c r="H351" s="443"/>
    </row>
    <row r="352">
      <c r="C352" s="442"/>
      <c r="H352" s="443"/>
    </row>
    <row r="353">
      <c r="C353" s="442"/>
      <c r="H353" s="443"/>
    </row>
    <row r="354">
      <c r="C354" s="442"/>
      <c r="H354" s="443"/>
    </row>
    <row r="355">
      <c r="C355" s="442"/>
      <c r="H355" s="443"/>
    </row>
    <row r="356">
      <c r="C356" s="442"/>
      <c r="H356" s="443"/>
    </row>
    <row r="357">
      <c r="C357" s="442"/>
      <c r="H357" s="443"/>
    </row>
    <row r="358">
      <c r="C358" s="442"/>
      <c r="H358" s="443"/>
    </row>
    <row r="359">
      <c r="C359" s="442"/>
      <c r="H359" s="443"/>
    </row>
    <row r="360">
      <c r="C360" s="442"/>
      <c r="H360" s="443"/>
    </row>
    <row r="361">
      <c r="C361" s="442"/>
      <c r="H361" s="443"/>
    </row>
    <row r="362">
      <c r="C362" s="442"/>
      <c r="H362" s="443"/>
    </row>
    <row r="363">
      <c r="C363" s="442"/>
      <c r="H363" s="443"/>
    </row>
    <row r="364">
      <c r="C364" s="442"/>
      <c r="H364" s="443"/>
    </row>
    <row r="365">
      <c r="C365" s="442"/>
      <c r="H365" s="443"/>
    </row>
    <row r="366">
      <c r="C366" s="442"/>
      <c r="H366" s="443"/>
    </row>
    <row r="367">
      <c r="C367" s="442"/>
      <c r="H367" s="443"/>
    </row>
    <row r="368">
      <c r="C368" s="442"/>
      <c r="H368" s="443"/>
    </row>
    <row r="369">
      <c r="C369" s="442"/>
      <c r="H369" s="443"/>
    </row>
    <row r="370">
      <c r="C370" s="442"/>
      <c r="H370" s="443"/>
    </row>
    <row r="371">
      <c r="C371" s="442"/>
      <c r="H371" s="443"/>
    </row>
    <row r="372">
      <c r="C372" s="442"/>
      <c r="H372" s="443"/>
    </row>
    <row r="373">
      <c r="C373" s="442"/>
      <c r="H373" s="443"/>
    </row>
    <row r="374">
      <c r="C374" s="442"/>
      <c r="H374" s="443"/>
    </row>
    <row r="375">
      <c r="C375" s="442"/>
      <c r="H375" s="443"/>
    </row>
    <row r="376">
      <c r="C376" s="442"/>
      <c r="H376" s="443"/>
    </row>
    <row r="377">
      <c r="C377" s="442"/>
      <c r="H377" s="443"/>
    </row>
    <row r="378">
      <c r="C378" s="442"/>
      <c r="H378" s="443"/>
    </row>
    <row r="379">
      <c r="C379" s="442"/>
      <c r="H379" s="443"/>
    </row>
    <row r="380">
      <c r="C380" s="442"/>
      <c r="H380" s="443"/>
    </row>
    <row r="381">
      <c r="C381" s="442"/>
      <c r="H381" s="443"/>
    </row>
    <row r="382">
      <c r="C382" s="442"/>
      <c r="H382" s="443"/>
    </row>
    <row r="383">
      <c r="C383" s="442"/>
      <c r="H383" s="443"/>
    </row>
    <row r="384">
      <c r="C384" s="442"/>
      <c r="H384" s="443"/>
    </row>
    <row r="385">
      <c r="C385" s="442"/>
      <c r="H385" s="443"/>
    </row>
    <row r="386">
      <c r="C386" s="442"/>
      <c r="H386" s="443"/>
    </row>
    <row r="387">
      <c r="C387" s="442"/>
      <c r="H387" s="443"/>
    </row>
    <row r="388">
      <c r="C388" s="442"/>
      <c r="H388" s="443"/>
    </row>
    <row r="389">
      <c r="C389" s="442"/>
      <c r="H389" s="443"/>
    </row>
    <row r="390">
      <c r="C390" s="442"/>
      <c r="H390" s="443"/>
    </row>
    <row r="391">
      <c r="C391" s="442"/>
      <c r="H391" s="443"/>
    </row>
    <row r="392">
      <c r="C392" s="442"/>
      <c r="H392" s="443"/>
    </row>
    <row r="393">
      <c r="C393" s="442"/>
      <c r="H393" s="443"/>
    </row>
    <row r="394">
      <c r="C394" s="442"/>
      <c r="H394" s="443"/>
    </row>
    <row r="395">
      <c r="C395" s="442"/>
      <c r="H395" s="443"/>
    </row>
    <row r="396">
      <c r="C396" s="442"/>
      <c r="H396" s="443"/>
    </row>
    <row r="397">
      <c r="C397" s="442"/>
      <c r="H397" s="443"/>
    </row>
    <row r="398">
      <c r="C398" s="442"/>
      <c r="H398" s="443"/>
    </row>
    <row r="399">
      <c r="C399" s="442"/>
      <c r="H399" s="443"/>
    </row>
    <row r="400">
      <c r="C400" s="442"/>
      <c r="H400" s="443"/>
    </row>
    <row r="401">
      <c r="C401" s="442"/>
      <c r="H401" s="443"/>
    </row>
    <row r="402">
      <c r="C402" s="442"/>
      <c r="H402" s="443"/>
    </row>
    <row r="403">
      <c r="C403" s="442"/>
      <c r="H403" s="443"/>
    </row>
    <row r="404">
      <c r="C404" s="442"/>
      <c r="H404" s="443"/>
    </row>
    <row r="405">
      <c r="C405" s="442"/>
      <c r="H405" s="443"/>
    </row>
    <row r="406">
      <c r="C406" s="442"/>
      <c r="H406" s="443"/>
    </row>
    <row r="407">
      <c r="C407" s="442"/>
      <c r="H407" s="443"/>
    </row>
    <row r="408">
      <c r="C408" s="442"/>
      <c r="H408" s="443"/>
    </row>
    <row r="409">
      <c r="C409" s="442"/>
      <c r="H409" s="443"/>
    </row>
    <row r="410">
      <c r="C410" s="442"/>
      <c r="H410" s="443"/>
    </row>
    <row r="411">
      <c r="C411" s="442"/>
      <c r="H411" s="443"/>
    </row>
    <row r="412">
      <c r="C412" s="442"/>
      <c r="H412" s="443"/>
    </row>
    <row r="413">
      <c r="C413" s="442"/>
      <c r="H413" s="443"/>
    </row>
    <row r="414">
      <c r="C414" s="442"/>
      <c r="H414" s="443"/>
    </row>
    <row r="415">
      <c r="C415" s="442"/>
      <c r="H415" s="443"/>
    </row>
    <row r="416">
      <c r="C416" s="442"/>
      <c r="H416" s="443"/>
    </row>
    <row r="417">
      <c r="C417" s="442"/>
      <c r="H417" s="443"/>
    </row>
    <row r="418">
      <c r="C418" s="442"/>
      <c r="H418" s="443"/>
    </row>
    <row r="419">
      <c r="C419" s="442"/>
      <c r="H419" s="443"/>
    </row>
    <row r="420">
      <c r="C420" s="442"/>
      <c r="H420" s="443"/>
    </row>
    <row r="421">
      <c r="C421" s="442"/>
      <c r="H421" s="443"/>
    </row>
    <row r="422">
      <c r="C422" s="442"/>
      <c r="H422" s="443"/>
    </row>
    <row r="423">
      <c r="C423" s="442"/>
      <c r="H423" s="443"/>
    </row>
    <row r="424">
      <c r="C424" s="442"/>
      <c r="H424" s="443"/>
    </row>
    <row r="425">
      <c r="C425" s="442"/>
      <c r="H425" s="443"/>
    </row>
    <row r="426">
      <c r="C426" s="442"/>
      <c r="H426" s="443"/>
    </row>
    <row r="427">
      <c r="C427" s="442"/>
      <c r="H427" s="443"/>
    </row>
    <row r="428">
      <c r="C428" s="442"/>
      <c r="H428" s="443"/>
    </row>
    <row r="429">
      <c r="C429" s="442"/>
      <c r="H429" s="443"/>
    </row>
    <row r="430">
      <c r="C430" s="442"/>
      <c r="H430" s="443"/>
    </row>
    <row r="431">
      <c r="C431" s="442"/>
      <c r="H431" s="443"/>
    </row>
    <row r="432">
      <c r="C432" s="442"/>
      <c r="H432" s="443"/>
    </row>
    <row r="433">
      <c r="C433" s="442"/>
      <c r="H433" s="443"/>
    </row>
    <row r="434">
      <c r="C434" s="442"/>
      <c r="H434" s="443"/>
    </row>
    <row r="435">
      <c r="C435" s="442"/>
      <c r="H435" s="443"/>
    </row>
    <row r="436">
      <c r="C436" s="442"/>
      <c r="H436" s="443"/>
    </row>
    <row r="437">
      <c r="C437" s="442"/>
      <c r="H437" s="443"/>
    </row>
    <row r="438">
      <c r="C438" s="442"/>
      <c r="H438" s="443"/>
    </row>
    <row r="439">
      <c r="C439" s="442"/>
      <c r="H439" s="443"/>
    </row>
    <row r="440">
      <c r="C440" s="442"/>
      <c r="H440" s="443"/>
    </row>
    <row r="441">
      <c r="C441" s="442"/>
      <c r="H441" s="443"/>
    </row>
    <row r="442">
      <c r="C442" s="442"/>
      <c r="H442" s="443"/>
    </row>
    <row r="443">
      <c r="C443" s="442"/>
      <c r="H443" s="443"/>
    </row>
    <row r="444">
      <c r="C444" s="442"/>
      <c r="H444" s="443"/>
    </row>
    <row r="445">
      <c r="C445" s="442"/>
      <c r="H445" s="443"/>
    </row>
    <row r="446">
      <c r="C446" s="442"/>
      <c r="H446" s="443"/>
    </row>
    <row r="447">
      <c r="C447" s="442"/>
      <c r="H447" s="443"/>
    </row>
    <row r="448">
      <c r="C448" s="442"/>
      <c r="H448" s="443"/>
    </row>
    <row r="449">
      <c r="C449" s="442"/>
      <c r="H449" s="443"/>
    </row>
    <row r="450">
      <c r="C450" s="442"/>
      <c r="H450" s="443"/>
    </row>
    <row r="451">
      <c r="C451" s="442"/>
      <c r="H451" s="443"/>
    </row>
    <row r="452">
      <c r="C452" s="442"/>
      <c r="H452" s="443"/>
    </row>
    <row r="453">
      <c r="C453" s="442"/>
      <c r="H453" s="443"/>
    </row>
    <row r="454">
      <c r="C454" s="442"/>
      <c r="H454" s="443"/>
    </row>
    <row r="455">
      <c r="C455" s="442"/>
      <c r="H455" s="443"/>
    </row>
    <row r="456">
      <c r="C456" s="442"/>
      <c r="H456" s="443"/>
    </row>
    <row r="457">
      <c r="C457" s="442"/>
      <c r="H457" s="443"/>
    </row>
    <row r="458">
      <c r="C458" s="442"/>
      <c r="H458" s="443"/>
    </row>
    <row r="459">
      <c r="C459" s="442"/>
      <c r="H459" s="443"/>
    </row>
    <row r="460">
      <c r="C460" s="442"/>
      <c r="H460" s="443"/>
    </row>
    <row r="461">
      <c r="C461" s="442"/>
      <c r="H461" s="443"/>
    </row>
    <row r="462">
      <c r="C462" s="442"/>
      <c r="H462" s="443"/>
    </row>
    <row r="463">
      <c r="C463" s="442"/>
      <c r="H463" s="443"/>
    </row>
    <row r="464">
      <c r="C464" s="442"/>
      <c r="H464" s="443"/>
    </row>
    <row r="465">
      <c r="C465" s="442"/>
      <c r="H465" s="443"/>
    </row>
    <row r="466">
      <c r="C466" s="442"/>
      <c r="H466" s="443"/>
    </row>
    <row r="467">
      <c r="C467" s="442"/>
      <c r="H467" s="443"/>
    </row>
    <row r="468">
      <c r="C468" s="442"/>
      <c r="H468" s="443"/>
    </row>
    <row r="469">
      <c r="C469" s="442"/>
      <c r="H469" s="443"/>
    </row>
    <row r="470">
      <c r="C470" s="442"/>
      <c r="H470" s="443"/>
    </row>
    <row r="471">
      <c r="C471" s="442"/>
      <c r="H471" s="443"/>
    </row>
    <row r="472">
      <c r="C472" s="442"/>
      <c r="H472" s="443"/>
    </row>
    <row r="473">
      <c r="C473" s="442"/>
      <c r="H473" s="443"/>
    </row>
    <row r="474">
      <c r="C474" s="442"/>
      <c r="H474" s="443"/>
    </row>
    <row r="475">
      <c r="C475" s="442"/>
      <c r="H475" s="443"/>
    </row>
    <row r="476">
      <c r="C476" s="442"/>
      <c r="H476" s="443"/>
    </row>
    <row r="477">
      <c r="C477" s="442"/>
      <c r="H477" s="443"/>
    </row>
    <row r="478">
      <c r="C478" s="442"/>
      <c r="H478" s="443"/>
    </row>
    <row r="479">
      <c r="C479" s="442"/>
      <c r="H479" s="443"/>
    </row>
    <row r="480">
      <c r="C480" s="442"/>
      <c r="H480" s="443"/>
    </row>
    <row r="481">
      <c r="C481" s="442"/>
      <c r="H481" s="443"/>
    </row>
    <row r="482">
      <c r="C482" s="442"/>
      <c r="H482" s="443"/>
    </row>
    <row r="483">
      <c r="C483" s="442"/>
      <c r="H483" s="443"/>
    </row>
    <row r="484">
      <c r="C484" s="442"/>
      <c r="H484" s="443"/>
    </row>
    <row r="485">
      <c r="C485" s="442"/>
      <c r="H485" s="443"/>
    </row>
    <row r="486">
      <c r="C486" s="442"/>
      <c r="H486" s="443"/>
    </row>
    <row r="487">
      <c r="C487" s="442"/>
      <c r="H487" s="443"/>
    </row>
    <row r="488">
      <c r="C488" s="442"/>
      <c r="H488" s="443"/>
    </row>
    <row r="489">
      <c r="C489" s="442"/>
      <c r="H489" s="443"/>
    </row>
    <row r="490">
      <c r="C490" s="442"/>
      <c r="H490" s="443"/>
    </row>
    <row r="491">
      <c r="C491" s="442"/>
      <c r="H491" s="443"/>
    </row>
    <row r="492">
      <c r="C492" s="442"/>
      <c r="H492" s="443"/>
    </row>
    <row r="493">
      <c r="C493" s="442"/>
      <c r="H493" s="443"/>
    </row>
    <row r="494">
      <c r="C494" s="442"/>
      <c r="H494" s="443"/>
    </row>
    <row r="495">
      <c r="C495" s="442"/>
      <c r="H495" s="443"/>
    </row>
    <row r="496">
      <c r="C496" s="442"/>
      <c r="H496" s="443"/>
    </row>
    <row r="497">
      <c r="C497" s="442"/>
      <c r="H497" s="443"/>
    </row>
    <row r="498">
      <c r="C498" s="442"/>
      <c r="H498" s="443"/>
    </row>
    <row r="499">
      <c r="C499" s="442"/>
      <c r="H499" s="443"/>
    </row>
    <row r="500">
      <c r="C500" s="442"/>
      <c r="H500" s="443"/>
    </row>
    <row r="501">
      <c r="C501" s="442"/>
      <c r="H501" s="443"/>
    </row>
    <row r="502">
      <c r="C502" s="442"/>
      <c r="H502" s="443"/>
    </row>
    <row r="503">
      <c r="C503" s="442"/>
      <c r="H503" s="443"/>
    </row>
    <row r="504">
      <c r="C504" s="442"/>
      <c r="H504" s="443"/>
    </row>
    <row r="505">
      <c r="C505" s="442"/>
      <c r="H505" s="443"/>
    </row>
    <row r="506">
      <c r="C506" s="442"/>
      <c r="H506" s="443"/>
    </row>
    <row r="507">
      <c r="C507" s="442"/>
      <c r="H507" s="443"/>
    </row>
    <row r="508">
      <c r="C508" s="442"/>
      <c r="H508" s="443"/>
    </row>
    <row r="509">
      <c r="C509" s="442"/>
      <c r="H509" s="443"/>
    </row>
    <row r="510">
      <c r="C510" s="442"/>
      <c r="H510" s="443"/>
    </row>
    <row r="511">
      <c r="C511" s="442"/>
      <c r="H511" s="443"/>
    </row>
    <row r="512">
      <c r="C512" s="442"/>
      <c r="H512" s="443"/>
    </row>
    <row r="513">
      <c r="C513" s="442"/>
      <c r="H513" s="443"/>
    </row>
    <row r="514">
      <c r="C514" s="442"/>
      <c r="H514" s="443"/>
    </row>
    <row r="515">
      <c r="C515" s="442"/>
      <c r="H515" s="443"/>
    </row>
    <row r="516">
      <c r="C516" s="442"/>
      <c r="H516" s="443"/>
    </row>
    <row r="517">
      <c r="C517" s="442"/>
      <c r="H517" s="443"/>
    </row>
    <row r="518">
      <c r="C518" s="442"/>
      <c r="H518" s="443"/>
    </row>
    <row r="519">
      <c r="C519" s="442"/>
      <c r="H519" s="443"/>
    </row>
    <row r="520">
      <c r="C520" s="442"/>
      <c r="H520" s="443"/>
    </row>
    <row r="521">
      <c r="C521" s="442"/>
      <c r="H521" s="443"/>
    </row>
    <row r="522">
      <c r="C522" s="442"/>
      <c r="H522" s="443"/>
    </row>
    <row r="523">
      <c r="C523" s="442"/>
      <c r="H523" s="443"/>
    </row>
    <row r="524">
      <c r="C524" s="442"/>
      <c r="H524" s="443"/>
    </row>
    <row r="525">
      <c r="C525" s="442"/>
      <c r="H525" s="443"/>
    </row>
    <row r="526">
      <c r="C526" s="442"/>
      <c r="H526" s="443"/>
    </row>
    <row r="527">
      <c r="C527" s="442"/>
      <c r="H527" s="443"/>
    </row>
    <row r="528">
      <c r="C528" s="442"/>
      <c r="H528" s="443"/>
    </row>
    <row r="529">
      <c r="C529" s="442"/>
      <c r="H529" s="443"/>
    </row>
    <row r="530">
      <c r="C530" s="442"/>
      <c r="H530" s="443"/>
    </row>
    <row r="531">
      <c r="C531" s="442"/>
      <c r="H531" s="443"/>
    </row>
    <row r="532">
      <c r="C532" s="442"/>
      <c r="H532" s="443"/>
    </row>
    <row r="533">
      <c r="C533" s="442"/>
      <c r="H533" s="443"/>
    </row>
    <row r="534">
      <c r="C534" s="442"/>
      <c r="H534" s="443"/>
    </row>
    <row r="535">
      <c r="C535" s="442"/>
      <c r="H535" s="443"/>
    </row>
    <row r="536">
      <c r="C536" s="442"/>
      <c r="H536" s="443"/>
    </row>
    <row r="537">
      <c r="C537" s="442"/>
      <c r="H537" s="443"/>
    </row>
    <row r="538">
      <c r="C538" s="442"/>
      <c r="H538" s="443"/>
    </row>
    <row r="539">
      <c r="C539" s="442"/>
      <c r="H539" s="443"/>
    </row>
    <row r="540">
      <c r="C540" s="442"/>
      <c r="H540" s="443"/>
    </row>
    <row r="541">
      <c r="C541" s="442"/>
      <c r="H541" s="443"/>
    </row>
    <row r="542">
      <c r="C542" s="442"/>
      <c r="H542" s="443"/>
    </row>
    <row r="543">
      <c r="C543" s="442"/>
      <c r="H543" s="443"/>
    </row>
    <row r="544">
      <c r="C544" s="442"/>
      <c r="H544" s="443"/>
    </row>
    <row r="545">
      <c r="C545" s="442"/>
      <c r="H545" s="443"/>
    </row>
    <row r="546">
      <c r="C546" s="442"/>
      <c r="H546" s="443"/>
    </row>
    <row r="547">
      <c r="C547" s="442"/>
      <c r="H547" s="443"/>
    </row>
    <row r="548">
      <c r="C548" s="442"/>
      <c r="H548" s="443"/>
    </row>
    <row r="549">
      <c r="C549" s="442"/>
      <c r="H549" s="443"/>
    </row>
    <row r="550">
      <c r="C550" s="442"/>
      <c r="H550" s="443"/>
    </row>
    <row r="551">
      <c r="C551" s="442"/>
      <c r="H551" s="443"/>
    </row>
    <row r="552">
      <c r="C552" s="442"/>
      <c r="H552" s="443"/>
    </row>
    <row r="553">
      <c r="C553" s="442"/>
      <c r="H553" s="443"/>
    </row>
    <row r="554">
      <c r="C554" s="442"/>
      <c r="H554" s="443"/>
    </row>
    <row r="555">
      <c r="C555" s="442"/>
      <c r="H555" s="443"/>
    </row>
    <row r="556">
      <c r="C556" s="442"/>
      <c r="H556" s="443"/>
    </row>
    <row r="557">
      <c r="C557" s="442"/>
      <c r="H557" s="443"/>
    </row>
    <row r="558">
      <c r="C558" s="442"/>
      <c r="H558" s="443"/>
    </row>
    <row r="559">
      <c r="C559" s="442"/>
      <c r="H559" s="443"/>
    </row>
    <row r="560">
      <c r="C560" s="442"/>
      <c r="H560" s="443"/>
    </row>
    <row r="561">
      <c r="C561" s="442"/>
      <c r="H561" s="443"/>
    </row>
    <row r="562">
      <c r="C562" s="442"/>
      <c r="H562" s="443"/>
    </row>
    <row r="563">
      <c r="C563" s="442"/>
      <c r="H563" s="443"/>
    </row>
    <row r="564">
      <c r="C564" s="442"/>
      <c r="H564" s="443"/>
    </row>
    <row r="565">
      <c r="C565" s="442"/>
      <c r="H565" s="443"/>
    </row>
    <row r="566">
      <c r="C566" s="442"/>
      <c r="H566" s="443"/>
    </row>
    <row r="567">
      <c r="C567" s="442"/>
      <c r="H567" s="443"/>
    </row>
    <row r="568">
      <c r="C568" s="442"/>
      <c r="H568" s="443"/>
    </row>
    <row r="569">
      <c r="C569" s="442"/>
      <c r="H569" s="443"/>
    </row>
    <row r="570">
      <c r="C570" s="442"/>
      <c r="H570" s="443"/>
    </row>
    <row r="571">
      <c r="C571" s="442"/>
      <c r="H571" s="443"/>
    </row>
    <row r="572">
      <c r="C572" s="442"/>
      <c r="H572" s="443"/>
    </row>
    <row r="573">
      <c r="C573" s="442"/>
      <c r="H573" s="443"/>
    </row>
    <row r="574">
      <c r="C574" s="442"/>
      <c r="H574" s="443"/>
    </row>
    <row r="575">
      <c r="C575" s="442"/>
      <c r="H575" s="443"/>
    </row>
    <row r="576">
      <c r="C576" s="442"/>
      <c r="H576" s="443"/>
    </row>
    <row r="577">
      <c r="C577" s="442"/>
      <c r="H577" s="443"/>
    </row>
    <row r="578">
      <c r="C578" s="442"/>
      <c r="H578" s="443"/>
    </row>
    <row r="579">
      <c r="C579" s="442"/>
      <c r="H579" s="443"/>
    </row>
    <row r="580">
      <c r="C580" s="442"/>
      <c r="H580" s="443"/>
    </row>
    <row r="581">
      <c r="C581" s="442"/>
      <c r="H581" s="443"/>
    </row>
    <row r="582">
      <c r="C582" s="442"/>
      <c r="H582" s="443"/>
    </row>
    <row r="583">
      <c r="C583" s="442"/>
      <c r="H583" s="443"/>
    </row>
    <row r="584">
      <c r="C584" s="442"/>
      <c r="H584" s="443"/>
    </row>
    <row r="585">
      <c r="C585" s="442"/>
      <c r="H585" s="443"/>
    </row>
    <row r="586">
      <c r="C586" s="442"/>
      <c r="H586" s="443"/>
    </row>
    <row r="587">
      <c r="C587" s="442"/>
      <c r="H587" s="443"/>
    </row>
    <row r="588">
      <c r="C588" s="442"/>
      <c r="H588" s="443"/>
    </row>
    <row r="589">
      <c r="C589" s="442"/>
      <c r="H589" s="443"/>
    </row>
    <row r="590">
      <c r="C590" s="442"/>
      <c r="H590" s="443"/>
    </row>
    <row r="591">
      <c r="C591" s="442"/>
      <c r="H591" s="443"/>
    </row>
    <row r="592">
      <c r="C592" s="442"/>
      <c r="H592" s="443"/>
    </row>
    <row r="593">
      <c r="C593" s="442"/>
      <c r="H593" s="443"/>
    </row>
    <row r="594">
      <c r="C594" s="442"/>
      <c r="H594" s="443"/>
    </row>
    <row r="595">
      <c r="C595" s="442"/>
      <c r="H595" s="443"/>
    </row>
    <row r="596">
      <c r="C596" s="442"/>
      <c r="H596" s="443"/>
    </row>
    <row r="597">
      <c r="C597" s="442"/>
      <c r="H597" s="443"/>
    </row>
    <row r="598">
      <c r="C598" s="442"/>
      <c r="H598" s="443"/>
    </row>
    <row r="599">
      <c r="C599" s="442"/>
      <c r="H599" s="443"/>
    </row>
    <row r="600">
      <c r="C600" s="442"/>
      <c r="H600" s="443"/>
    </row>
    <row r="601">
      <c r="C601" s="442"/>
      <c r="H601" s="443"/>
    </row>
    <row r="602">
      <c r="C602" s="442"/>
      <c r="H602" s="443"/>
    </row>
    <row r="603">
      <c r="C603" s="442"/>
      <c r="H603" s="443"/>
    </row>
    <row r="604">
      <c r="C604" s="442"/>
      <c r="H604" s="443"/>
    </row>
    <row r="605">
      <c r="C605" s="442"/>
      <c r="H605" s="443"/>
    </row>
    <row r="606">
      <c r="C606" s="442"/>
      <c r="H606" s="443"/>
    </row>
    <row r="607">
      <c r="C607" s="442"/>
      <c r="H607" s="443"/>
    </row>
    <row r="608">
      <c r="C608" s="442"/>
      <c r="H608" s="443"/>
    </row>
    <row r="609">
      <c r="C609" s="442"/>
      <c r="H609" s="443"/>
    </row>
    <row r="610">
      <c r="C610" s="442"/>
      <c r="H610" s="443"/>
    </row>
    <row r="611">
      <c r="C611" s="442"/>
      <c r="H611" s="443"/>
    </row>
    <row r="612">
      <c r="C612" s="442"/>
      <c r="H612" s="443"/>
    </row>
    <row r="613">
      <c r="C613" s="442"/>
      <c r="H613" s="443"/>
    </row>
    <row r="614">
      <c r="C614" s="442"/>
      <c r="H614" s="443"/>
    </row>
    <row r="615">
      <c r="C615" s="442"/>
      <c r="H615" s="443"/>
    </row>
    <row r="616">
      <c r="C616" s="442"/>
      <c r="H616" s="443"/>
    </row>
    <row r="617">
      <c r="C617" s="442"/>
      <c r="H617" s="443"/>
    </row>
    <row r="618">
      <c r="C618" s="442"/>
      <c r="H618" s="443"/>
    </row>
    <row r="619">
      <c r="C619" s="442"/>
      <c r="H619" s="443"/>
    </row>
    <row r="620">
      <c r="C620" s="442"/>
      <c r="H620" s="443"/>
    </row>
    <row r="621">
      <c r="C621" s="442"/>
      <c r="H621" s="443"/>
    </row>
    <row r="622">
      <c r="C622" s="442"/>
      <c r="H622" s="443"/>
    </row>
    <row r="623">
      <c r="C623" s="442"/>
      <c r="H623" s="443"/>
    </row>
    <row r="624">
      <c r="C624" s="442"/>
      <c r="H624" s="443"/>
    </row>
    <row r="625">
      <c r="C625" s="442"/>
      <c r="H625" s="443"/>
    </row>
    <row r="626">
      <c r="C626" s="442"/>
      <c r="H626" s="443"/>
    </row>
    <row r="627">
      <c r="C627" s="442"/>
      <c r="H627" s="443"/>
    </row>
    <row r="628">
      <c r="C628" s="442"/>
      <c r="H628" s="443"/>
    </row>
    <row r="629">
      <c r="C629" s="442"/>
      <c r="H629" s="443"/>
    </row>
    <row r="630">
      <c r="C630" s="442"/>
      <c r="H630" s="443"/>
    </row>
    <row r="631">
      <c r="C631" s="442"/>
      <c r="H631" s="443"/>
    </row>
    <row r="632">
      <c r="C632" s="442"/>
      <c r="H632" s="443"/>
    </row>
    <row r="633">
      <c r="C633" s="442"/>
      <c r="H633" s="443"/>
    </row>
    <row r="634">
      <c r="C634" s="442"/>
      <c r="H634" s="443"/>
    </row>
    <row r="635">
      <c r="C635" s="442"/>
      <c r="H635" s="443"/>
    </row>
    <row r="636">
      <c r="C636" s="442"/>
      <c r="H636" s="443"/>
    </row>
    <row r="637">
      <c r="C637" s="442"/>
      <c r="H637" s="443"/>
    </row>
    <row r="638">
      <c r="C638" s="442"/>
      <c r="H638" s="443"/>
    </row>
    <row r="639">
      <c r="C639" s="442"/>
      <c r="H639" s="443"/>
    </row>
    <row r="640">
      <c r="C640" s="442"/>
      <c r="H640" s="443"/>
    </row>
    <row r="641">
      <c r="C641" s="442"/>
      <c r="H641" s="443"/>
    </row>
    <row r="642">
      <c r="C642" s="442"/>
      <c r="H642" s="443"/>
    </row>
    <row r="643">
      <c r="C643" s="442"/>
      <c r="H643" s="443"/>
    </row>
    <row r="644">
      <c r="C644" s="442"/>
      <c r="H644" s="443"/>
    </row>
    <row r="645">
      <c r="C645" s="442"/>
      <c r="H645" s="443"/>
    </row>
    <row r="646">
      <c r="C646" s="442"/>
      <c r="H646" s="443"/>
    </row>
    <row r="647">
      <c r="C647" s="442"/>
      <c r="H647" s="443"/>
    </row>
    <row r="648">
      <c r="C648" s="442"/>
      <c r="H648" s="443"/>
    </row>
    <row r="649">
      <c r="C649" s="442"/>
      <c r="H649" s="443"/>
    </row>
    <row r="650">
      <c r="C650" s="442"/>
      <c r="H650" s="443"/>
    </row>
    <row r="651">
      <c r="C651" s="442"/>
      <c r="H651" s="443"/>
    </row>
    <row r="652">
      <c r="C652" s="442"/>
      <c r="H652" s="443"/>
    </row>
    <row r="653">
      <c r="C653" s="442"/>
      <c r="H653" s="443"/>
    </row>
    <row r="654">
      <c r="C654" s="442"/>
      <c r="H654" s="443"/>
    </row>
    <row r="655">
      <c r="C655" s="442"/>
      <c r="H655" s="443"/>
    </row>
    <row r="656">
      <c r="C656" s="442"/>
      <c r="H656" s="443"/>
    </row>
    <row r="657">
      <c r="C657" s="442"/>
      <c r="H657" s="443"/>
    </row>
    <row r="658">
      <c r="C658" s="442"/>
      <c r="H658" s="443"/>
    </row>
    <row r="659">
      <c r="C659" s="442"/>
      <c r="H659" s="443"/>
    </row>
    <row r="660">
      <c r="C660" s="442"/>
      <c r="H660" s="443"/>
    </row>
    <row r="661">
      <c r="C661" s="442"/>
      <c r="H661" s="443"/>
    </row>
    <row r="662">
      <c r="C662" s="442"/>
      <c r="H662" s="443"/>
    </row>
    <row r="663">
      <c r="C663" s="442"/>
      <c r="H663" s="443"/>
    </row>
    <row r="664">
      <c r="C664" s="442"/>
      <c r="H664" s="443"/>
    </row>
    <row r="665">
      <c r="C665" s="442"/>
      <c r="H665" s="443"/>
    </row>
    <row r="666">
      <c r="C666" s="442"/>
      <c r="H666" s="443"/>
    </row>
    <row r="667">
      <c r="C667" s="442"/>
      <c r="H667" s="443"/>
    </row>
    <row r="668">
      <c r="C668" s="442"/>
      <c r="H668" s="443"/>
    </row>
    <row r="669">
      <c r="C669" s="442"/>
      <c r="H669" s="443"/>
    </row>
    <row r="670">
      <c r="C670" s="442"/>
      <c r="H670" s="443"/>
    </row>
    <row r="671">
      <c r="C671" s="442"/>
      <c r="H671" s="443"/>
    </row>
    <row r="672">
      <c r="C672" s="442"/>
      <c r="H672" s="443"/>
    </row>
    <row r="673">
      <c r="C673" s="442"/>
      <c r="H673" s="443"/>
    </row>
    <row r="674">
      <c r="C674" s="442"/>
      <c r="H674" s="443"/>
    </row>
    <row r="675">
      <c r="C675" s="442"/>
      <c r="H675" s="443"/>
    </row>
    <row r="676">
      <c r="C676" s="442"/>
      <c r="H676" s="443"/>
    </row>
    <row r="677">
      <c r="C677" s="442"/>
      <c r="H677" s="443"/>
    </row>
    <row r="678">
      <c r="C678" s="442"/>
      <c r="H678" s="443"/>
    </row>
    <row r="679">
      <c r="C679" s="442"/>
      <c r="H679" s="443"/>
    </row>
    <row r="680">
      <c r="C680" s="442"/>
      <c r="H680" s="443"/>
    </row>
    <row r="681">
      <c r="C681" s="442"/>
      <c r="H681" s="443"/>
    </row>
    <row r="682">
      <c r="C682" s="442"/>
      <c r="H682" s="443"/>
    </row>
    <row r="683">
      <c r="C683" s="442"/>
      <c r="H683" s="443"/>
    </row>
    <row r="684">
      <c r="C684" s="442"/>
      <c r="H684" s="443"/>
    </row>
    <row r="685">
      <c r="C685" s="442"/>
      <c r="H685" s="443"/>
    </row>
    <row r="686">
      <c r="C686" s="442"/>
      <c r="H686" s="443"/>
    </row>
    <row r="687">
      <c r="C687" s="442"/>
      <c r="H687" s="443"/>
    </row>
    <row r="688">
      <c r="C688" s="442"/>
      <c r="H688" s="443"/>
    </row>
    <row r="689">
      <c r="C689" s="442"/>
      <c r="H689" s="443"/>
    </row>
    <row r="690">
      <c r="C690" s="442"/>
      <c r="H690" s="443"/>
    </row>
    <row r="691">
      <c r="C691" s="442"/>
      <c r="H691" s="443"/>
    </row>
    <row r="692">
      <c r="C692" s="442"/>
      <c r="H692" s="443"/>
    </row>
    <row r="693">
      <c r="C693" s="442"/>
      <c r="H693" s="443"/>
    </row>
    <row r="694">
      <c r="C694" s="442"/>
      <c r="H694" s="443"/>
    </row>
    <row r="695">
      <c r="C695" s="442"/>
      <c r="H695" s="443"/>
    </row>
    <row r="696">
      <c r="C696" s="442"/>
      <c r="H696" s="443"/>
    </row>
    <row r="697">
      <c r="C697" s="442"/>
      <c r="H697" s="443"/>
    </row>
    <row r="698">
      <c r="C698" s="442"/>
      <c r="H698" s="443"/>
    </row>
    <row r="699">
      <c r="C699" s="442"/>
      <c r="H699" s="443"/>
    </row>
    <row r="700">
      <c r="C700" s="442"/>
      <c r="H700" s="443"/>
    </row>
    <row r="701">
      <c r="C701" s="442"/>
      <c r="H701" s="443"/>
    </row>
    <row r="702">
      <c r="C702" s="442"/>
      <c r="H702" s="443"/>
    </row>
    <row r="703">
      <c r="C703" s="442"/>
      <c r="H703" s="443"/>
    </row>
    <row r="704">
      <c r="C704" s="442"/>
      <c r="H704" s="443"/>
    </row>
    <row r="705">
      <c r="C705" s="442"/>
      <c r="H705" s="443"/>
    </row>
    <row r="706">
      <c r="C706" s="442"/>
      <c r="H706" s="443"/>
    </row>
    <row r="707">
      <c r="C707" s="442"/>
      <c r="H707" s="443"/>
    </row>
    <row r="708">
      <c r="C708" s="442"/>
      <c r="H708" s="443"/>
    </row>
    <row r="709">
      <c r="C709" s="442"/>
      <c r="H709" s="443"/>
    </row>
    <row r="710">
      <c r="C710" s="442"/>
      <c r="H710" s="443"/>
    </row>
    <row r="711">
      <c r="C711" s="442"/>
      <c r="H711" s="443"/>
    </row>
    <row r="712">
      <c r="C712" s="442"/>
      <c r="H712" s="443"/>
    </row>
    <row r="713">
      <c r="C713" s="442"/>
      <c r="H713" s="443"/>
    </row>
    <row r="714">
      <c r="C714" s="442"/>
      <c r="H714" s="443"/>
    </row>
    <row r="715">
      <c r="C715" s="442"/>
      <c r="H715" s="443"/>
    </row>
    <row r="716">
      <c r="C716" s="442"/>
      <c r="H716" s="443"/>
    </row>
    <row r="717">
      <c r="C717" s="442"/>
      <c r="H717" s="443"/>
    </row>
    <row r="718">
      <c r="C718" s="442"/>
      <c r="H718" s="443"/>
    </row>
    <row r="719">
      <c r="C719" s="442"/>
      <c r="H719" s="443"/>
    </row>
    <row r="720">
      <c r="C720" s="442"/>
      <c r="H720" s="443"/>
    </row>
    <row r="721">
      <c r="C721" s="442"/>
      <c r="H721" s="443"/>
    </row>
    <row r="722">
      <c r="C722" s="442"/>
      <c r="H722" s="443"/>
    </row>
    <row r="723">
      <c r="C723" s="442"/>
      <c r="H723" s="443"/>
    </row>
    <row r="724">
      <c r="C724" s="442"/>
      <c r="H724" s="443"/>
    </row>
    <row r="725">
      <c r="C725" s="442"/>
      <c r="H725" s="443"/>
    </row>
    <row r="726">
      <c r="C726" s="442"/>
      <c r="H726" s="443"/>
    </row>
    <row r="727">
      <c r="C727" s="442"/>
      <c r="H727" s="443"/>
    </row>
    <row r="728">
      <c r="C728" s="442"/>
      <c r="H728" s="443"/>
    </row>
    <row r="729">
      <c r="C729" s="442"/>
      <c r="H729" s="443"/>
    </row>
    <row r="730">
      <c r="C730" s="442"/>
      <c r="H730" s="443"/>
    </row>
    <row r="731">
      <c r="C731" s="442"/>
      <c r="H731" s="443"/>
    </row>
    <row r="732">
      <c r="C732" s="442"/>
      <c r="H732" s="443"/>
    </row>
    <row r="733">
      <c r="C733" s="442"/>
      <c r="H733" s="443"/>
    </row>
    <row r="734">
      <c r="C734" s="442"/>
      <c r="H734" s="443"/>
    </row>
    <row r="735">
      <c r="C735" s="442"/>
      <c r="H735" s="443"/>
    </row>
    <row r="736">
      <c r="C736" s="442"/>
      <c r="H736" s="443"/>
    </row>
    <row r="737">
      <c r="C737" s="442"/>
      <c r="H737" s="443"/>
    </row>
    <row r="738">
      <c r="C738" s="442"/>
      <c r="H738" s="443"/>
    </row>
    <row r="739">
      <c r="C739" s="442"/>
      <c r="H739" s="443"/>
    </row>
    <row r="740">
      <c r="C740" s="442"/>
      <c r="H740" s="443"/>
    </row>
    <row r="741">
      <c r="C741" s="442"/>
      <c r="H741" s="443"/>
    </row>
    <row r="742">
      <c r="C742" s="442"/>
      <c r="H742" s="443"/>
    </row>
    <row r="743">
      <c r="C743" s="442"/>
      <c r="H743" s="443"/>
    </row>
    <row r="744">
      <c r="C744" s="442"/>
      <c r="H744" s="443"/>
    </row>
    <row r="745">
      <c r="C745" s="442"/>
      <c r="H745" s="443"/>
    </row>
    <row r="746">
      <c r="C746" s="442"/>
      <c r="H746" s="443"/>
    </row>
    <row r="747">
      <c r="C747" s="442"/>
      <c r="H747" s="443"/>
    </row>
    <row r="748">
      <c r="C748" s="442"/>
      <c r="H748" s="443"/>
    </row>
    <row r="749">
      <c r="C749" s="442"/>
      <c r="H749" s="443"/>
    </row>
    <row r="750">
      <c r="C750" s="442"/>
      <c r="H750" s="443"/>
    </row>
    <row r="751">
      <c r="C751" s="442"/>
      <c r="H751" s="443"/>
    </row>
    <row r="752">
      <c r="C752" s="442"/>
      <c r="H752" s="443"/>
    </row>
    <row r="753">
      <c r="C753" s="442"/>
      <c r="H753" s="443"/>
    </row>
    <row r="754">
      <c r="C754" s="442"/>
      <c r="H754" s="443"/>
    </row>
    <row r="755">
      <c r="C755" s="442"/>
      <c r="H755" s="443"/>
    </row>
    <row r="756">
      <c r="C756" s="442"/>
      <c r="H756" s="443"/>
    </row>
    <row r="757">
      <c r="C757" s="442"/>
      <c r="H757" s="443"/>
    </row>
    <row r="758">
      <c r="C758" s="442"/>
      <c r="H758" s="443"/>
    </row>
    <row r="759">
      <c r="C759" s="442"/>
      <c r="H759" s="443"/>
    </row>
    <row r="760">
      <c r="C760" s="442"/>
      <c r="H760" s="443"/>
    </row>
    <row r="761">
      <c r="C761" s="442"/>
      <c r="H761" s="443"/>
    </row>
    <row r="762">
      <c r="C762" s="442"/>
      <c r="H762" s="443"/>
    </row>
    <row r="763">
      <c r="C763" s="442"/>
      <c r="H763" s="443"/>
    </row>
    <row r="764">
      <c r="C764" s="442"/>
      <c r="H764" s="443"/>
    </row>
    <row r="765">
      <c r="C765" s="442"/>
      <c r="H765" s="443"/>
    </row>
    <row r="766">
      <c r="C766" s="442"/>
      <c r="H766" s="443"/>
    </row>
    <row r="767">
      <c r="C767" s="442"/>
      <c r="H767" s="443"/>
    </row>
    <row r="768">
      <c r="C768" s="442"/>
      <c r="H768" s="443"/>
    </row>
    <row r="769">
      <c r="C769" s="442"/>
      <c r="H769" s="443"/>
    </row>
    <row r="770">
      <c r="C770" s="442"/>
      <c r="H770" s="443"/>
    </row>
    <row r="771">
      <c r="C771" s="442"/>
      <c r="H771" s="443"/>
    </row>
    <row r="772">
      <c r="C772" s="442"/>
      <c r="H772" s="443"/>
    </row>
    <row r="773">
      <c r="C773" s="442"/>
      <c r="H773" s="443"/>
    </row>
    <row r="774">
      <c r="C774" s="442"/>
      <c r="H774" s="443"/>
    </row>
    <row r="775">
      <c r="C775" s="442"/>
      <c r="H775" s="443"/>
    </row>
    <row r="776">
      <c r="C776" s="442"/>
      <c r="H776" s="443"/>
    </row>
    <row r="777">
      <c r="C777" s="442"/>
      <c r="H777" s="443"/>
    </row>
    <row r="778">
      <c r="C778" s="442"/>
      <c r="H778" s="443"/>
    </row>
    <row r="779">
      <c r="C779" s="442"/>
      <c r="H779" s="443"/>
    </row>
    <row r="780">
      <c r="C780" s="442"/>
      <c r="H780" s="443"/>
    </row>
    <row r="781">
      <c r="C781" s="442"/>
      <c r="H781" s="443"/>
    </row>
    <row r="782">
      <c r="C782" s="442"/>
      <c r="H782" s="443"/>
    </row>
    <row r="783">
      <c r="C783" s="442"/>
      <c r="H783" s="443"/>
    </row>
    <row r="784">
      <c r="C784" s="442"/>
      <c r="H784" s="443"/>
    </row>
    <row r="785">
      <c r="C785" s="442"/>
      <c r="H785" s="443"/>
    </row>
    <row r="786">
      <c r="C786" s="442"/>
      <c r="H786" s="443"/>
    </row>
    <row r="787">
      <c r="C787" s="442"/>
      <c r="H787" s="443"/>
    </row>
    <row r="788">
      <c r="C788" s="442"/>
      <c r="H788" s="443"/>
    </row>
    <row r="789">
      <c r="C789" s="442"/>
      <c r="H789" s="443"/>
    </row>
    <row r="790">
      <c r="C790" s="442"/>
      <c r="H790" s="443"/>
    </row>
    <row r="791">
      <c r="C791" s="442"/>
      <c r="H791" s="443"/>
    </row>
    <row r="792">
      <c r="C792" s="442"/>
      <c r="H792" s="443"/>
    </row>
    <row r="793">
      <c r="C793" s="442"/>
      <c r="H793" s="443"/>
    </row>
    <row r="794">
      <c r="C794" s="442"/>
      <c r="H794" s="443"/>
    </row>
    <row r="795">
      <c r="C795" s="442"/>
      <c r="H795" s="443"/>
    </row>
    <row r="796">
      <c r="C796" s="442"/>
      <c r="H796" s="443"/>
    </row>
    <row r="797">
      <c r="C797" s="442"/>
      <c r="H797" s="443"/>
    </row>
    <row r="798">
      <c r="C798" s="442"/>
      <c r="H798" s="443"/>
    </row>
    <row r="799">
      <c r="C799" s="442"/>
      <c r="H799" s="443"/>
    </row>
    <row r="800">
      <c r="C800" s="442"/>
      <c r="H800" s="443"/>
    </row>
    <row r="801">
      <c r="C801" s="442"/>
      <c r="H801" s="443"/>
    </row>
    <row r="802">
      <c r="C802" s="442"/>
      <c r="H802" s="443"/>
    </row>
    <row r="803">
      <c r="C803" s="442"/>
      <c r="H803" s="443"/>
    </row>
    <row r="804">
      <c r="C804" s="442"/>
      <c r="H804" s="443"/>
    </row>
    <row r="805">
      <c r="C805" s="442"/>
      <c r="H805" s="443"/>
    </row>
    <row r="806">
      <c r="C806" s="442"/>
      <c r="H806" s="443"/>
    </row>
    <row r="807">
      <c r="C807" s="442"/>
      <c r="H807" s="443"/>
    </row>
    <row r="808">
      <c r="C808" s="442"/>
      <c r="H808" s="443"/>
    </row>
    <row r="809">
      <c r="C809" s="442"/>
      <c r="H809" s="443"/>
    </row>
    <row r="810">
      <c r="C810" s="442"/>
      <c r="H810" s="443"/>
    </row>
    <row r="811">
      <c r="C811" s="442"/>
      <c r="H811" s="443"/>
    </row>
    <row r="812">
      <c r="C812" s="442"/>
      <c r="H812" s="443"/>
    </row>
    <row r="813">
      <c r="C813" s="442"/>
      <c r="H813" s="443"/>
    </row>
    <row r="814">
      <c r="C814" s="442"/>
      <c r="H814" s="443"/>
    </row>
    <row r="815">
      <c r="C815" s="442"/>
      <c r="H815" s="443"/>
    </row>
    <row r="816">
      <c r="C816" s="442"/>
      <c r="H816" s="443"/>
    </row>
    <row r="817">
      <c r="C817" s="442"/>
      <c r="H817" s="443"/>
    </row>
    <row r="818">
      <c r="C818" s="442"/>
      <c r="H818" s="443"/>
    </row>
    <row r="819">
      <c r="C819" s="442"/>
      <c r="H819" s="443"/>
    </row>
    <row r="820">
      <c r="C820" s="442"/>
      <c r="H820" s="443"/>
    </row>
    <row r="821">
      <c r="C821" s="442"/>
      <c r="H821" s="443"/>
    </row>
    <row r="822">
      <c r="C822" s="442"/>
      <c r="H822" s="443"/>
    </row>
    <row r="823">
      <c r="C823" s="442"/>
      <c r="H823" s="443"/>
    </row>
    <row r="824">
      <c r="C824" s="442"/>
      <c r="H824" s="443"/>
    </row>
    <row r="825">
      <c r="C825" s="442"/>
      <c r="H825" s="443"/>
    </row>
    <row r="826">
      <c r="C826" s="442"/>
      <c r="H826" s="443"/>
    </row>
    <row r="827">
      <c r="C827" s="442"/>
      <c r="H827" s="443"/>
    </row>
    <row r="828">
      <c r="C828" s="442"/>
      <c r="H828" s="443"/>
    </row>
    <row r="829">
      <c r="C829" s="442"/>
      <c r="H829" s="443"/>
    </row>
    <row r="830">
      <c r="C830" s="442"/>
      <c r="H830" s="443"/>
    </row>
    <row r="831">
      <c r="C831" s="442"/>
      <c r="H831" s="443"/>
    </row>
    <row r="832">
      <c r="C832" s="442"/>
      <c r="H832" s="443"/>
    </row>
    <row r="833">
      <c r="C833" s="442"/>
      <c r="H833" s="443"/>
    </row>
    <row r="834">
      <c r="C834" s="442"/>
      <c r="H834" s="443"/>
    </row>
    <row r="835">
      <c r="C835" s="442"/>
      <c r="H835" s="443"/>
    </row>
    <row r="836">
      <c r="C836" s="442"/>
      <c r="H836" s="443"/>
    </row>
    <row r="837">
      <c r="C837" s="442"/>
      <c r="H837" s="443"/>
    </row>
    <row r="838">
      <c r="C838" s="442"/>
      <c r="H838" s="443"/>
    </row>
    <row r="839">
      <c r="C839" s="442"/>
      <c r="H839" s="443"/>
    </row>
    <row r="840">
      <c r="C840" s="442"/>
      <c r="H840" s="443"/>
    </row>
    <row r="841">
      <c r="C841" s="442"/>
      <c r="H841" s="443"/>
    </row>
    <row r="842">
      <c r="C842" s="442"/>
      <c r="H842" s="443"/>
    </row>
    <row r="843">
      <c r="C843" s="442"/>
      <c r="H843" s="443"/>
    </row>
    <row r="844">
      <c r="C844" s="442"/>
      <c r="H844" s="443"/>
    </row>
    <row r="845">
      <c r="C845" s="442"/>
      <c r="H845" s="443"/>
    </row>
    <row r="846">
      <c r="C846" s="442"/>
      <c r="H846" s="443"/>
    </row>
    <row r="847">
      <c r="C847" s="442"/>
      <c r="H847" s="443"/>
    </row>
    <row r="848">
      <c r="C848" s="442"/>
      <c r="H848" s="443"/>
    </row>
    <row r="849">
      <c r="C849" s="442"/>
      <c r="H849" s="443"/>
    </row>
    <row r="850">
      <c r="C850" s="442"/>
      <c r="H850" s="443"/>
    </row>
    <row r="851">
      <c r="C851" s="442"/>
      <c r="H851" s="443"/>
    </row>
    <row r="852">
      <c r="C852" s="442"/>
      <c r="H852" s="443"/>
    </row>
    <row r="853">
      <c r="C853" s="442"/>
      <c r="H853" s="443"/>
    </row>
    <row r="854">
      <c r="C854" s="442"/>
      <c r="H854" s="443"/>
    </row>
    <row r="855">
      <c r="C855" s="442"/>
      <c r="H855" s="443"/>
    </row>
    <row r="856">
      <c r="C856" s="442"/>
      <c r="H856" s="443"/>
    </row>
    <row r="857">
      <c r="C857" s="442"/>
      <c r="H857" s="443"/>
    </row>
    <row r="858">
      <c r="C858" s="442"/>
      <c r="H858" s="443"/>
    </row>
    <row r="859">
      <c r="C859" s="442"/>
      <c r="H859" s="443"/>
    </row>
    <row r="860">
      <c r="C860" s="442"/>
      <c r="H860" s="443"/>
    </row>
    <row r="861">
      <c r="C861" s="442"/>
      <c r="H861" s="443"/>
    </row>
    <row r="862">
      <c r="C862" s="442"/>
      <c r="H862" s="443"/>
    </row>
    <row r="863">
      <c r="C863" s="442"/>
      <c r="H863" s="443"/>
    </row>
    <row r="864">
      <c r="C864" s="442"/>
      <c r="H864" s="443"/>
    </row>
    <row r="865">
      <c r="C865" s="442"/>
      <c r="H865" s="443"/>
    </row>
    <row r="866">
      <c r="C866" s="442"/>
      <c r="H866" s="443"/>
    </row>
    <row r="867">
      <c r="C867" s="442"/>
      <c r="H867" s="443"/>
    </row>
    <row r="868">
      <c r="C868" s="442"/>
      <c r="H868" s="443"/>
    </row>
    <row r="869">
      <c r="C869" s="442"/>
      <c r="H869" s="443"/>
    </row>
    <row r="870">
      <c r="C870" s="442"/>
      <c r="H870" s="443"/>
    </row>
    <row r="871">
      <c r="C871" s="442"/>
      <c r="H871" s="443"/>
    </row>
    <row r="872">
      <c r="C872" s="442"/>
      <c r="H872" s="443"/>
    </row>
    <row r="873">
      <c r="C873" s="442"/>
      <c r="H873" s="443"/>
    </row>
    <row r="874">
      <c r="C874" s="442"/>
      <c r="H874" s="443"/>
    </row>
    <row r="875">
      <c r="C875" s="442"/>
      <c r="H875" s="443"/>
    </row>
    <row r="876">
      <c r="C876" s="442"/>
      <c r="H876" s="443"/>
    </row>
    <row r="877">
      <c r="C877" s="442"/>
      <c r="H877" s="443"/>
    </row>
    <row r="878">
      <c r="C878" s="442"/>
      <c r="H878" s="443"/>
    </row>
    <row r="879">
      <c r="C879" s="442"/>
      <c r="H879" s="443"/>
    </row>
    <row r="880">
      <c r="C880" s="442"/>
      <c r="H880" s="443"/>
    </row>
    <row r="881">
      <c r="C881" s="442"/>
      <c r="H881" s="443"/>
    </row>
    <row r="882">
      <c r="C882" s="442"/>
      <c r="H882" s="443"/>
    </row>
    <row r="883">
      <c r="C883" s="442"/>
      <c r="H883" s="443"/>
    </row>
    <row r="884">
      <c r="C884" s="442"/>
      <c r="H884" s="443"/>
    </row>
    <row r="885">
      <c r="C885" s="442"/>
      <c r="H885" s="443"/>
    </row>
    <row r="886">
      <c r="C886" s="442"/>
      <c r="H886" s="443"/>
    </row>
    <row r="887">
      <c r="C887" s="442"/>
      <c r="H887" s="443"/>
    </row>
    <row r="888">
      <c r="C888" s="442"/>
      <c r="H888" s="443"/>
    </row>
    <row r="889">
      <c r="C889" s="442"/>
      <c r="H889" s="443"/>
    </row>
    <row r="890">
      <c r="C890" s="442"/>
      <c r="H890" s="443"/>
    </row>
    <row r="891">
      <c r="C891" s="442"/>
      <c r="H891" s="443"/>
    </row>
    <row r="892">
      <c r="C892" s="442"/>
      <c r="H892" s="443"/>
    </row>
    <row r="893">
      <c r="C893" s="442"/>
      <c r="H893" s="443"/>
    </row>
    <row r="894">
      <c r="C894" s="442"/>
      <c r="H894" s="443"/>
    </row>
    <row r="895">
      <c r="C895" s="442"/>
      <c r="H895" s="443"/>
    </row>
    <row r="896">
      <c r="C896" s="442"/>
      <c r="H896" s="443"/>
    </row>
    <row r="897">
      <c r="C897" s="442"/>
      <c r="H897" s="443"/>
    </row>
    <row r="898">
      <c r="C898" s="442"/>
      <c r="H898" s="443"/>
    </row>
    <row r="899">
      <c r="C899" s="442"/>
      <c r="H899" s="443"/>
    </row>
    <row r="900">
      <c r="C900" s="442"/>
      <c r="H900" s="443"/>
    </row>
    <row r="901">
      <c r="C901" s="442"/>
      <c r="H901" s="443"/>
    </row>
    <row r="902">
      <c r="C902" s="442"/>
      <c r="H902" s="443"/>
    </row>
    <row r="903">
      <c r="C903" s="442"/>
      <c r="H903" s="443"/>
    </row>
    <row r="904">
      <c r="C904" s="442"/>
      <c r="H904" s="443"/>
    </row>
    <row r="905">
      <c r="C905" s="442"/>
      <c r="H905" s="443"/>
    </row>
    <row r="906">
      <c r="C906" s="442"/>
      <c r="H906" s="443"/>
    </row>
    <row r="907">
      <c r="C907" s="442"/>
      <c r="H907" s="443"/>
    </row>
    <row r="908">
      <c r="C908" s="442"/>
      <c r="H908" s="443"/>
    </row>
    <row r="909">
      <c r="C909" s="442"/>
      <c r="H909" s="443"/>
    </row>
    <row r="910">
      <c r="C910" s="442"/>
      <c r="H910" s="443"/>
    </row>
    <row r="911">
      <c r="C911" s="442"/>
      <c r="H911" s="443"/>
    </row>
    <row r="912">
      <c r="C912" s="442"/>
      <c r="H912" s="443"/>
    </row>
    <row r="913">
      <c r="C913" s="442"/>
      <c r="H913" s="443"/>
    </row>
    <row r="914">
      <c r="C914" s="442"/>
      <c r="H914" s="443"/>
    </row>
    <row r="915">
      <c r="C915" s="442"/>
      <c r="H915" s="443"/>
    </row>
    <row r="916">
      <c r="C916" s="442"/>
      <c r="H916" s="443"/>
    </row>
    <row r="917">
      <c r="C917" s="442"/>
      <c r="H917" s="443"/>
    </row>
    <row r="918">
      <c r="C918" s="442"/>
      <c r="H918" s="443"/>
    </row>
    <row r="919">
      <c r="C919" s="442"/>
      <c r="H919" s="443"/>
    </row>
    <row r="920">
      <c r="C920" s="442"/>
      <c r="H920" s="443"/>
    </row>
    <row r="921">
      <c r="C921" s="442"/>
      <c r="H921" s="443"/>
    </row>
    <row r="922">
      <c r="C922" s="442"/>
      <c r="H922" s="443"/>
    </row>
    <row r="923">
      <c r="C923" s="442"/>
      <c r="H923" s="443"/>
    </row>
    <row r="924">
      <c r="C924" s="442"/>
      <c r="H924" s="443"/>
    </row>
    <row r="925">
      <c r="C925" s="442"/>
      <c r="H925" s="443"/>
    </row>
    <row r="926">
      <c r="C926" s="442"/>
      <c r="H926" s="443"/>
    </row>
    <row r="927">
      <c r="C927" s="442"/>
      <c r="H927" s="443"/>
    </row>
    <row r="928">
      <c r="C928" s="442"/>
      <c r="H928" s="443"/>
    </row>
    <row r="929">
      <c r="C929" s="442"/>
      <c r="H929" s="443"/>
    </row>
    <row r="930">
      <c r="C930" s="442"/>
      <c r="H930" s="443"/>
    </row>
    <row r="931">
      <c r="C931" s="442"/>
      <c r="H931" s="443"/>
    </row>
    <row r="932">
      <c r="C932" s="442"/>
      <c r="H932" s="443"/>
    </row>
    <row r="933">
      <c r="C933" s="442"/>
      <c r="H933" s="443"/>
    </row>
    <row r="934">
      <c r="C934" s="442"/>
      <c r="H934" s="443"/>
    </row>
    <row r="935">
      <c r="C935" s="442"/>
      <c r="H935" s="443"/>
    </row>
    <row r="936">
      <c r="C936" s="442"/>
      <c r="H936" s="443"/>
    </row>
    <row r="937">
      <c r="C937" s="442"/>
      <c r="H937" s="443"/>
    </row>
    <row r="938">
      <c r="C938" s="442"/>
      <c r="H938" s="443"/>
    </row>
    <row r="939">
      <c r="C939" s="442"/>
      <c r="H939" s="443"/>
    </row>
    <row r="940">
      <c r="C940" s="442"/>
      <c r="H940" s="443"/>
    </row>
    <row r="941">
      <c r="C941" s="442"/>
      <c r="H941" s="443"/>
    </row>
    <row r="942">
      <c r="C942" s="442"/>
      <c r="H942" s="443"/>
    </row>
    <row r="943">
      <c r="C943" s="442"/>
      <c r="H943" s="443"/>
    </row>
    <row r="944">
      <c r="C944" s="442"/>
      <c r="H944" s="443"/>
    </row>
    <row r="945">
      <c r="C945" s="442"/>
      <c r="H945" s="443"/>
    </row>
    <row r="946">
      <c r="C946" s="442"/>
      <c r="H946" s="443"/>
    </row>
    <row r="947">
      <c r="C947" s="442"/>
      <c r="H947" s="443"/>
    </row>
    <row r="948">
      <c r="C948" s="442"/>
      <c r="H948" s="443"/>
    </row>
    <row r="949">
      <c r="C949" s="442"/>
      <c r="H949" s="443"/>
    </row>
    <row r="950">
      <c r="C950" s="442"/>
      <c r="H950" s="443"/>
    </row>
    <row r="951">
      <c r="C951" s="442"/>
      <c r="H951" s="443"/>
    </row>
    <row r="952">
      <c r="C952" s="442"/>
      <c r="H952" s="443"/>
    </row>
    <row r="953">
      <c r="C953" s="442"/>
      <c r="H953" s="443"/>
    </row>
    <row r="954">
      <c r="C954" s="442"/>
      <c r="H954" s="443"/>
    </row>
    <row r="955">
      <c r="C955" s="442"/>
      <c r="H955" s="443"/>
    </row>
    <row r="956">
      <c r="C956" s="442"/>
      <c r="H956" s="443"/>
    </row>
    <row r="957">
      <c r="C957" s="442"/>
      <c r="H957" s="443"/>
    </row>
    <row r="958">
      <c r="C958" s="442"/>
      <c r="H958" s="443"/>
    </row>
    <row r="959">
      <c r="C959" s="442"/>
      <c r="H959" s="443"/>
    </row>
    <row r="960">
      <c r="C960" s="442"/>
      <c r="H960" s="443"/>
    </row>
    <row r="961">
      <c r="C961" s="442"/>
      <c r="H961" s="443"/>
    </row>
    <row r="962">
      <c r="C962" s="442"/>
      <c r="H962" s="443"/>
    </row>
    <row r="963">
      <c r="C963" s="442"/>
      <c r="H963" s="443"/>
    </row>
    <row r="964">
      <c r="C964" s="442"/>
      <c r="H964" s="443"/>
    </row>
    <row r="965">
      <c r="C965" s="442"/>
      <c r="H965" s="443"/>
    </row>
  </sheetData>
  <hyperlinks>
    <hyperlink r:id="rId1" ref="H2"/>
    <hyperlink r:id="rId2" ref="H3"/>
    <hyperlink r:id="rId3" ref="H4"/>
    <hyperlink r:id="rId4" ref="G5"/>
    <hyperlink r:id="rId5" ref="H5"/>
    <hyperlink r:id="rId6" ref="H6"/>
    <hyperlink r:id="rId7" ref="H7"/>
    <hyperlink r:id="rId8" ref="G8"/>
    <hyperlink r:id="rId9" ref="H8"/>
    <hyperlink r:id="rId10" ref="H9"/>
    <hyperlink r:id="rId11" ref="H10"/>
    <hyperlink r:id="rId12" ref="H11"/>
    <hyperlink r:id="rId13" ref="H12"/>
  </hyperlinks>
  <drawing r:id="rId1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44"/>
    <col customWidth="1" min="2" max="2" width="5.33"/>
    <col customWidth="1" min="3" max="3" width="28.89"/>
    <col customWidth="1" min="4" max="4" width="56.67"/>
    <col customWidth="1" min="5" max="5" width="6.56"/>
    <col customWidth="1" min="6" max="6" width="6.33"/>
    <col customWidth="1" min="7" max="7" width="43.89"/>
    <col customWidth="1" min="8" max="8" width="39.89"/>
    <col customWidth="1" min="9" max="9" width="37.89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7" t="s">
        <v>1054</v>
      </c>
      <c r="H1" s="455" t="s">
        <v>1257</v>
      </c>
      <c r="I1" s="456" t="s">
        <v>1057</v>
      </c>
      <c r="J1" s="276"/>
      <c r="K1" s="276"/>
      <c r="L1" s="276"/>
      <c r="M1" s="276"/>
      <c r="N1" s="276"/>
      <c r="O1" s="276"/>
      <c r="P1" s="276"/>
      <c r="Q1" s="276"/>
      <c r="R1" s="276"/>
      <c r="S1" s="276"/>
      <c r="T1" s="276"/>
      <c r="U1" s="276"/>
    </row>
    <row r="2">
      <c r="A2" s="38">
        <v>46344.0</v>
      </c>
      <c r="B2" s="457">
        <v>1.0</v>
      </c>
      <c r="C2" s="209" t="s">
        <v>1258</v>
      </c>
      <c r="D2" s="58" t="s">
        <v>1259</v>
      </c>
      <c r="E2" s="326"/>
      <c r="F2" s="328"/>
      <c r="G2" s="110"/>
      <c r="H2" s="458" t="s">
        <v>1261</v>
      </c>
      <c r="I2" s="274"/>
      <c r="J2" s="276"/>
      <c r="K2" s="276"/>
      <c r="L2" s="276"/>
      <c r="M2" s="276"/>
      <c r="N2" s="276"/>
      <c r="O2" s="276"/>
      <c r="P2" s="276"/>
      <c r="Q2" s="276"/>
      <c r="R2" s="276"/>
      <c r="S2" s="276"/>
      <c r="T2" s="276"/>
      <c r="U2" s="276"/>
    </row>
    <row r="3">
      <c r="A3" s="38">
        <v>46345.0</v>
      </c>
      <c r="B3" s="457">
        <v>2.0</v>
      </c>
      <c r="C3" s="58" t="s">
        <v>592</v>
      </c>
      <c r="D3" s="58" t="s">
        <v>1264</v>
      </c>
      <c r="E3" s="274"/>
      <c r="F3" s="275"/>
      <c r="G3" s="110"/>
      <c r="H3" s="458" t="s">
        <v>1265</v>
      </c>
      <c r="I3" s="274"/>
      <c r="J3" s="276"/>
      <c r="K3" s="276"/>
      <c r="L3" s="276"/>
      <c r="M3" s="276"/>
      <c r="N3" s="276"/>
      <c r="O3" s="276"/>
      <c r="P3" s="276"/>
      <c r="Q3" s="276"/>
      <c r="R3" s="276"/>
      <c r="S3" s="276"/>
      <c r="T3" s="276"/>
      <c r="U3" s="276"/>
    </row>
    <row r="4">
      <c r="A4" s="38">
        <v>46346.0</v>
      </c>
      <c r="B4" s="457">
        <v>3.0</v>
      </c>
      <c r="C4" s="58" t="s">
        <v>592</v>
      </c>
      <c r="D4" s="58" t="s">
        <v>1269</v>
      </c>
      <c r="E4" s="274"/>
      <c r="F4" s="275"/>
      <c r="G4" s="110"/>
      <c r="H4" s="458" t="s">
        <v>1270</v>
      </c>
      <c r="I4" s="462" t="s">
        <v>1271</v>
      </c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</row>
    <row r="5">
      <c r="A5" s="38">
        <v>46347.0</v>
      </c>
      <c r="B5" s="457">
        <v>4.0</v>
      </c>
      <c r="C5" s="58" t="s">
        <v>592</v>
      </c>
      <c r="D5" s="463" t="s">
        <v>1272</v>
      </c>
      <c r="E5" s="110"/>
      <c r="F5" s="259"/>
      <c r="G5" s="110"/>
      <c r="H5" s="458" t="s">
        <v>1273</v>
      </c>
      <c r="I5" s="274"/>
      <c r="J5" s="276"/>
      <c r="K5" s="276"/>
      <c r="L5" s="276"/>
      <c r="M5" s="276"/>
      <c r="N5" s="276"/>
      <c r="O5" s="276"/>
      <c r="P5" s="276"/>
      <c r="Q5" s="276"/>
      <c r="R5" s="276"/>
      <c r="S5" s="276"/>
      <c r="T5" s="276"/>
      <c r="U5" s="276"/>
    </row>
    <row r="6">
      <c r="A6" s="38">
        <v>46348.0</v>
      </c>
      <c r="B6" s="457">
        <v>5.0</v>
      </c>
      <c r="C6" s="58" t="s">
        <v>594</v>
      </c>
      <c r="D6" s="58" t="s">
        <v>1274</v>
      </c>
      <c r="E6" s="58">
        <v>200.0</v>
      </c>
      <c r="F6" s="266">
        <v>3.0</v>
      </c>
      <c r="G6" s="110"/>
      <c r="H6" s="458" t="s">
        <v>1275</v>
      </c>
      <c r="I6" s="274"/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</row>
    <row r="7">
      <c r="A7" s="38">
        <v>46349.0</v>
      </c>
      <c r="B7" s="457">
        <v>6.0</v>
      </c>
      <c r="C7" s="58" t="s">
        <v>608</v>
      </c>
      <c r="D7" s="58" t="s">
        <v>1276</v>
      </c>
      <c r="E7" s="110"/>
      <c r="F7" s="266"/>
      <c r="G7" s="110"/>
      <c r="H7" s="458" t="s">
        <v>1277</v>
      </c>
      <c r="I7" s="274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</row>
    <row r="8">
      <c r="A8" s="38">
        <v>46350.0</v>
      </c>
      <c r="B8" s="457">
        <v>7.0</v>
      </c>
      <c r="C8" s="58" t="s">
        <v>608</v>
      </c>
      <c r="D8" s="463" t="s">
        <v>1278</v>
      </c>
      <c r="E8" s="58"/>
      <c r="F8" s="266"/>
      <c r="G8" s="110"/>
      <c r="H8" s="458" t="s">
        <v>1279</v>
      </c>
      <c r="I8" s="274"/>
      <c r="J8" s="276"/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</row>
    <row r="9">
      <c r="A9" s="38">
        <v>46351.0</v>
      </c>
      <c r="B9" s="457">
        <v>8.0</v>
      </c>
      <c r="C9" s="58" t="s">
        <v>634</v>
      </c>
      <c r="D9" s="58" t="s">
        <v>1280</v>
      </c>
      <c r="E9" s="58">
        <v>150.0</v>
      </c>
      <c r="F9" s="266">
        <v>2.15</v>
      </c>
      <c r="G9" s="386" t="s">
        <v>1281</v>
      </c>
      <c r="H9" s="458" t="s">
        <v>1282</v>
      </c>
      <c r="I9" s="274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</row>
    <row r="10">
      <c r="A10" s="38">
        <v>46352.0</v>
      </c>
      <c r="B10" s="457">
        <v>9.0</v>
      </c>
      <c r="C10" s="58" t="s">
        <v>661</v>
      </c>
      <c r="D10" s="466" t="s">
        <v>1283</v>
      </c>
      <c r="E10" s="58"/>
      <c r="F10" s="266"/>
      <c r="G10" s="58"/>
      <c r="H10" s="458" t="s">
        <v>1284</v>
      </c>
      <c r="I10" s="274"/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</row>
    <row r="11">
      <c r="A11" s="38">
        <v>46353.0</v>
      </c>
      <c r="B11" s="457">
        <v>10.0</v>
      </c>
      <c r="C11" s="58" t="s">
        <v>672</v>
      </c>
      <c r="D11" s="58" t="s">
        <v>1285</v>
      </c>
      <c r="E11" s="58">
        <v>140.0</v>
      </c>
      <c r="F11" s="266">
        <v>1.4</v>
      </c>
      <c r="G11" s="58"/>
      <c r="H11" s="458" t="s">
        <v>1286</v>
      </c>
      <c r="I11" s="274"/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</row>
    <row r="12">
      <c r="A12" s="38">
        <v>46354.0</v>
      </c>
      <c r="B12" s="457">
        <v>11.0</v>
      </c>
      <c r="C12" s="58" t="s">
        <v>686</v>
      </c>
      <c r="D12" s="123" t="s">
        <v>1290</v>
      </c>
      <c r="E12" s="58">
        <v>416.0</v>
      </c>
      <c r="F12" s="266">
        <v>5.0</v>
      </c>
      <c r="G12" s="58"/>
      <c r="H12" s="458" t="s">
        <v>1291</v>
      </c>
      <c r="I12" s="274"/>
      <c r="J12" s="276"/>
      <c r="K12" s="276"/>
      <c r="L12" s="276"/>
      <c r="M12" s="276"/>
      <c r="N12" s="276"/>
      <c r="O12" s="276"/>
      <c r="P12" s="276"/>
      <c r="Q12" s="276"/>
      <c r="R12" s="276"/>
      <c r="S12" s="276"/>
      <c r="T12" s="276"/>
      <c r="U12" s="276"/>
    </row>
    <row r="13">
      <c r="A13" s="38">
        <v>46355.0</v>
      </c>
      <c r="B13" s="457">
        <v>12.0</v>
      </c>
      <c r="C13" s="58" t="s">
        <v>704</v>
      </c>
      <c r="D13" s="58" t="s">
        <v>1292</v>
      </c>
      <c r="E13" s="58">
        <v>150.0</v>
      </c>
      <c r="F13" s="266">
        <v>2.0</v>
      </c>
      <c r="G13" s="58"/>
      <c r="H13" s="458" t="s">
        <v>1294</v>
      </c>
      <c r="I13" s="462" t="s">
        <v>1297</v>
      </c>
      <c r="J13" s="276"/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</row>
    <row r="14">
      <c r="A14" s="38">
        <v>46356.0</v>
      </c>
      <c r="B14" s="457">
        <v>13.0</v>
      </c>
      <c r="C14" s="58" t="s">
        <v>719</v>
      </c>
      <c r="D14" s="58" t="s">
        <v>1298</v>
      </c>
      <c r="E14" s="58"/>
      <c r="F14" s="266"/>
      <c r="G14" s="58"/>
      <c r="H14" s="458" t="s">
        <v>1301</v>
      </c>
      <c r="I14" s="462" t="s">
        <v>1303</v>
      </c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</row>
    <row r="15">
      <c r="A15" s="38">
        <v>46357.0</v>
      </c>
      <c r="B15" s="457">
        <v>14.0</v>
      </c>
      <c r="C15" s="58" t="s">
        <v>735</v>
      </c>
      <c r="D15" s="58" t="s">
        <v>1310</v>
      </c>
      <c r="E15" s="326">
        <v>250.0</v>
      </c>
      <c r="F15" s="328">
        <v>3.3</v>
      </c>
      <c r="G15" s="58"/>
      <c r="H15" s="458" t="s">
        <v>1311</v>
      </c>
      <c r="I15" s="274"/>
      <c r="J15" s="276"/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</row>
    <row r="16">
      <c r="A16" s="38">
        <v>46358.0</v>
      </c>
      <c r="B16" s="457">
        <v>15.0</v>
      </c>
      <c r="C16" s="58" t="s">
        <v>762</v>
      </c>
      <c r="D16" s="58" t="s">
        <v>1317</v>
      </c>
      <c r="E16" s="326"/>
      <c r="F16" s="328"/>
      <c r="G16" s="58"/>
      <c r="H16" s="458" t="s">
        <v>1321</v>
      </c>
      <c r="I16" s="274"/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</row>
    <row r="17">
      <c r="A17" s="38">
        <v>46359.0</v>
      </c>
      <c r="B17" s="457">
        <v>16.0</v>
      </c>
      <c r="C17" s="58" t="s">
        <v>1322</v>
      </c>
      <c r="D17" s="58" t="s">
        <v>1323</v>
      </c>
      <c r="E17" s="326">
        <v>240.0</v>
      </c>
      <c r="F17" s="328">
        <v>3.2</v>
      </c>
      <c r="G17" s="58"/>
      <c r="H17" s="458" t="s">
        <v>1325</v>
      </c>
      <c r="I17" s="274"/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</row>
    <row r="18">
      <c r="A18" s="38">
        <v>46360.0</v>
      </c>
      <c r="B18" s="457">
        <v>17.0</v>
      </c>
      <c r="C18" s="58" t="s">
        <v>1333</v>
      </c>
      <c r="D18" s="470" t="s">
        <v>1334</v>
      </c>
      <c r="E18" s="326">
        <v>75.0</v>
      </c>
      <c r="F18" s="328">
        <v>1.2</v>
      </c>
      <c r="G18" s="58"/>
      <c r="H18" s="458" t="s">
        <v>1335</v>
      </c>
      <c r="I18" s="462" t="s">
        <v>1337</v>
      </c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</row>
    <row r="19">
      <c r="A19" s="38">
        <v>46361.0</v>
      </c>
      <c r="B19" s="457">
        <v>18.0</v>
      </c>
      <c r="C19" s="58" t="s">
        <v>326</v>
      </c>
      <c r="D19" s="470" t="s">
        <v>1342</v>
      </c>
      <c r="E19" s="274"/>
      <c r="F19" s="275"/>
      <c r="G19" s="58"/>
      <c r="H19" s="458" t="s">
        <v>1343</v>
      </c>
      <c r="I19" s="462" t="s">
        <v>1350</v>
      </c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</row>
    <row r="20">
      <c r="A20" s="38">
        <v>46362.0</v>
      </c>
      <c r="B20" s="457">
        <v>19.0</v>
      </c>
      <c r="C20" s="58" t="s">
        <v>778</v>
      </c>
      <c r="D20" s="58" t="s">
        <v>1352</v>
      </c>
      <c r="E20" s="326">
        <v>250.0</v>
      </c>
      <c r="F20" s="328">
        <v>3.3</v>
      </c>
      <c r="G20" s="58"/>
      <c r="H20" s="458" t="s">
        <v>1353</v>
      </c>
      <c r="I20" s="274"/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</row>
    <row r="21">
      <c r="A21" s="38">
        <v>46363.0</v>
      </c>
      <c r="B21" s="457">
        <v>20.0</v>
      </c>
      <c r="C21" s="58" t="s">
        <v>786</v>
      </c>
      <c r="D21" s="58" t="s">
        <v>1360</v>
      </c>
      <c r="E21" s="326"/>
      <c r="F21" s="328"/>
      <c r="G21" s="58"/>
      <c r="H21" s="458" t="s">
        <v>1361</v>
      </c>
      <c r="I21" s="274"/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</row>
    <row r="22">
      <c r="A22" s="38">
        <v>46364.0</v>
      </c>
      <c r="B22" s="457">
        <v>21.0</v>
      </c>
      <c r="C22" s="58" t="s">
        <v>786</v>
      </c>
      <c r="D22" s="58" t="s">
        <v>1366</v>
      </c>
      <c r="E22" s="274"/>
      <c r="F22" s="275"/>
      <c r="G22" s="58"/>
      <c r="H22" s="432" t="s">
        <v>1367</v>
      </c>
      <c r="I22" s="110"/>
    </row>
    <row r="23">
      <c r="A23" s="38">
        <v>46365.0</v>
      </c>
      <c r="B23" s="457">
        <v>22.0</v>
      </c>
      <c r="C23" s="58" t="s">
        <v>786</v>
      </c>
      <c r="D23" s="58" t="s">
        <v>1369</v>
      </c>
      <c r="E23" s="326"/>
      <c r="F23" s="328"/>
      <c r="G23" s="110"/>
      <c r="H23" s="432" t="s">
        <v>1370</v>
      </c>
      <c r="I23" s="110"/>
    </row>
    <row r="24">
      <c r="A24" s="38">
        <v>46366.0</v>
      </c>
      <c r="B24" s="457">
        <v>23.0</v>
      </c>
      <c r="C24" s="58" t="s">
        <v>787</v>
      </c>
      <c r="D24" s="58" t="s">
        <v>1376</v>
      </c>
      <c r="E24" s="58">
        <v>60.0</v>
      </c>
      <c r="F24" s="266">
        <v>1.0</v>
      </c>
      <c r="G24" s="110"/>
      <c r="H24" s="432" t="s">
        <v>1377</v>
      </c>
      <c r="I24" s="110"/>
    </row>
    <row r="25">
      <c r="A25" s="38">
        <v>46367.0</v>
      </c>
      <c r="B25" s="457">
        <v>24.0</v>
      </c>
      <c r="C25" s="58" t="s">
        <v>789</v>
      </c>
      <c r="D25" s="58" t="s">
        <v>1381</v>
      </c>
      <c r="E25" s="110"/>
      <c r="F25" s="259"/>
      <c r="G25" s="189" t="s">
        <v>509</v>
      </c>
      <c r="H25" s="432" t="s">
        <v>1382</v>
      </c>
      <c r="I25" s="386" t="s">
        <v>1386</v>
      </c>
    </row>
    <row r="26">
      <c r="A26" s="38">
        <v>46368.0</v>
      </c>
      <c r="B26" s="457">
        <v>25.0</v>
      </c>
      <c r="C26" s="58" t="s">
        <v>789</v>
      </c>
      <c r="D26" s="463" t="s">
        <v>1389</v>
      </c>
      <c r="E26" s="110"/>
      <c r="F26" s="259"/>
      <c r="G26" s="435" t="s">
        <v>599</v>
      </c>
      <c r="H26" s="432" t="s">
        <v>1390</v>
      </c>
      <c r="I26" s="110"/>
    </row>
    <row r="27">
      <c r="A27" s="38">
        <v>46369.0</v>
      </c>
      <c r="B27" s="457">
        <v>26.0</v>
      </c>
      <c r="C27" s="209" t="s">
        <v>1392</v>
      </c>
      <c r="H27" s="443"/>
    </row>
    <row r="28">
      <c r="H28" s="443"/>
    </row>
    <row r="29">
      <c r="H29" s="443"/>
    </row>
    <row r="30">
      <c r="H30" s="443"/>
    </row>
    <row r="31">
      <c r="H31" s="443"/>
    </row>
    <row r="32">
      <c r="H32" s="443"/>
    </row>
    <row r="33">
      <c r="H33" s="443"/>
    </row>
    <row r="34">
      <c r="H34" s="443"/>
    </row>
    <row r="35">
      <c r="H35" s="443"/>
    </row>
    <row r="36">
      <c r="H36" s="443"/>
    </row>
    <row r="37">
      <c r="H37" s="443"/>
    </row>
    <row r="38">
      <c r="H38" s="443"/>
    </row>
    <row r="39">
      <c r="H39" s="443"/>
    </row>
    <row r="40">
      <c r="H40" s="443"/>
    </row>
    <row r="41">
      <c r="H41" s="443"/>
    </row>
    <row r="42">
      <c r="H42" s="443"/>
    </row>
    <row r="43">
      <c r="H43" s="443"/>
    </row>
    <row r="44">
      <c r="H44" s="443"/>
    </row>
    <row r="45">
      <c r="H45" s="443"/>
    </row>
    <row r="46">
      <c r="H46" s="443"/>
    </row>
    <row r="47">
      <c r="H47" s="443"/>
    </row>
    <row r="48">
      <c r="H48" s="443"/>
    </row>
    <row r="49">
      <c r="H49" s="443"/>
    </row>
    <row r="50">
      <c r="H50" s="443"/>
    </row>
    <row r="51">
      <c r="H51" s="443"/>
    </row>
    <row r="52">
      <c r="H52" s="443"/>
    </row>
    <row r="53">
      <c r="H53" s="443"/>
    </row>
    <row r="54">
      <c r="H54" s="443"/>
    </row>
    <row r="55">
      <c r="H55" s="443"/>
    </row>
    <row r="56">
      <c r="H56" s="443"/>
    </row>
    <row r="57">
      <c r="H57" s="443"/>
    </row>
    <row r="58">
      <c r="H58" s="443"/>
    </row>
    <row r="59">
      <c r="H59" s="443"/>
    </row>
    <row r="60">
      <c r="H60" s="443"/>
    </row>
    <row r="61">
      <c r="H61" s="443"/>
    </row>
    <row r="62">
      <c r="H62" s="443"/>
    </row>
    <row r="63">
      <c r="H63" s="443"/>
    </row>
    <row r="64">
      <c r="H64" s="443"/>
    </row>
    <row r="65">
      <c r="H65" s="443"/>
    </row>
    <row r="66">
      <c r="H66" s="443"/>
    </row>
    <row r="67">
      <c r="H67" s="443"/>
    </row>
    <row r="68">
      <c r="H68" s="443"/>
    </row>
    <row r="69">
      <c r="H69" s="443"/>
    </row>
    <row r="70">
      <c r="H70" s="443"/>
    </row>
    <row r="71">
      <c r="H71" s="443"/>
    </row>
    <row r="72">
      <c r="H72" s="443"/>
    </row>
    <row r="73">
      <c r="H73" s="443"/>
    </row>
    <row r="74">
      <c r="H74" s="443"/>
    </row>
    <row r="75">
      <c r="H75" s="443"/>
    </row>
    <row r="76">
      <c r="H76" s="443"/>
    </row>
    <row r="77">
      <c r="H77" s="443"/>
    </row>
    <row r="78">
      <c r="H78" s="443"/>
    </row>
    <row r="79">
      <c r="H79" s="443"/>
    </row>
    <row r="80">
      <c r="H80" s="443"/>
    </row>
    <row r="81">
      <c r="H81" s="443"/>
    </row>
    <row r="82">
      <c r="H82" s="443"/>
    </row>
    <row r="83">
      <c r="H83" s="443"/>
    </row>
    <row r="84">
      <c r="H84" s="443"/>
    </row>
    <row r="85">
      <c r="H85" s="443"/>
    </row>
    <row r="86">
      <c r="H86" s="443"/>
    </row>
    <row r="87">
      <c r="H87" s="443"/>
    </row>
    <row r="88">
      <c r="H88" s="443"/>
    </row>
    <row r="89">
      <c r="H89" s="443"/>
    </row>
    <row r="90">
      <c r="H90" s="443"/>
    </row>
    <row r="91">
      <c r="H91" s="443"/>
    </row>
    <row r="92">
      <c r="H92" s="443"/>
    </row>
    <row r="93">
      <c r="H93" s="443"/>
    </row>
    <row r="94">
      <c r="H94" s="443"/>
    </row>
    <row r="95">
      <c r="H95" s="443"/>
    </row>
    <row r="96">
      <c r="H96" s="443"/>
    </row>
    <row r="97">
      <c r="H97" s="443"/>
    </row>
    <row r="98">
      <c r="H98" s="443"/>
    </row>
    <row r="99">
      <c r="H99" s="443"/>
    </row>
    <row r="100">
      <c r="H100" s="443"/>
    </row>
    <row r="101">
      <c r="H101" s="443"/>
    </row>
    <row r="102">
      <c r="H102" s="443"/>
    </row>
    <row r="103">
      <c r="H103" s="443"/>
    </row>
    <row r="104">
      <c r="H104" s="443"/>
    </row>
    <row r="105">
      <c r="H105" s="443"/>
    </row>
    <row r="106">
      <c r="H106" s="443"/>
    </row>
    <row r="107">
      <c r="H107" s="443"/>
    </row>
    <row r="108">
      <c r="H108" s="443"/>
    </row>
    <row r="109">
      <c r="H109" s="443"/>
    </row>
    <row r="110">
      <c r="H110" s="443"/>
    </row>
    <row r="111">
      <c r="H111" s="443"/>
    </row>
    <row r="112">
      <c r="H112" s="443"/>
    </row>
    <row r="113">
      <c r="H113" s="443"/>
    </row>
    <row r="114">
      <c r="H114" s="443"/>
    </row>
    <row r="115">
      <c r="H115" s="443"/>
    </row>
    <row r="116">
      <c r="H116" s="443"/>
    </row>
    <row r="117">
      <c r="H117" s="443"/>
    </row>
    <row r="118">
      <c r="H118" s="443"/>
    </row>
    <row r="119">
      <c r="H119" s="443"/>
    </row>
    <row r="120">
      <c r="H120" s="443"/>
    </row>
    <row r="121">
      <c r="H121" s="443"/>
    </row>
    <row r="122">
      <c r="H122" s="443"/>
    </row>
    <row r="123">
      <c r="H123" s="443"/>
    </row>
    <row r="124">
      <c r="H124" s="443"/>
    </row>
    <row r="125">
      <c r="H125" s="443"/>
    </row>
    <row r="126">
      <c r="H126" s="443"/>
    </row>
    <row r="127">
      <c r="H127" s="443"/>
    </row>
    <row r="128">
      <c r="H128" s="443"/>
    </row>
    <row r="129">
      <c r="H129" s="443"/>
    </row>
    <row r="130">
      <c r="H130" s="443"/>
    </row>
    <row r="131">
      <c r="H131" s="443"/>
    </row>
    <row r="132">
      <c r="H132" s="443"/>
    </row>
    <row r="133">
      <c r="H133" s="443"/>
    </row>
    <row r="134">
      <c r="H134" s="443"/>
    </row>
    <row r="135">
      <c r="H135" s="443"/>
    </row>
    <row r="136">
      <c r="H136" s="443"/>
    </row>
    <row r="137">
      <c r="H137" s="443"/>
    </row>
    <row r="138">
      <c r="H138" s="443"/>
    </row>
    <row r="139">
      <c r="H139" s="443"/>
    </row>
    <row r="140">
      <c r="H140" s="443"/>
    </row>
    <row r="141">
      <c r="H141" s="443"/>
    </row>
    <row r="142">
      <c r="H142" s="443"/>
    </row>
    <row r="143">
      <c r="H143" s="443"/>
    </row>
    <row r="144">
      <c r="H144" s="443"/>
    </row>
    <row r="145">
      <c r="H145" s="443"/>
    </row>
    <row r="146">
      <c r="H146" s="443"/>
    </row>
    <row r="147">
      <c r="H147" s="443"/>
    </row>
    <row r="148">
      <c r="H148" s="443"/>
    </row>
    <row r="149">
      <c r="H149" s="443"/>
    </row>
    <row r="150">
      <c r="H150" s="443"/>
    </row>
    <row r="151">
      <c r="H151" s="443"/>
    </row>
    <row r="152">
      <c r="H152" s="443"/>
    </row>
    <row r="153">
      <c r="H153" s="443"/>
    </row>
    <row r="154">
      <c r="H154" s="443"/>
    </row>
    <row r="155">
      <c r="H155" s="443"/>
    </row>
    <row r="156">
      <c r="H156" s="443"/>
    </row>
    <row r="157">
      <c r="H157" s="443"/>
    </row>
    <row r="158">
      <c r="H158" s="443"/>
    </row>
    <row r="159">
      <c r="H159" s="443"/>
    </row>
    <row r="160">
      <c r="H160" s="443"/>
    </row>
    <row r="161">
      <c r="H161" s="443"/>
    </row>
    <row r="162">
      <c r="H162" s="443"/>
    </row>
    <row r="163">
      <c r="H163" s="443"/>
    </row>
    <row r="164">
      <c r="H164" s="443"/>
    </row>
    <row r="165">
      <c r="H165" s="443"/>
    </row>
    <row r="166">
      <c r="H166" s="443"/>
    </row>
    <row r="167">
      <c r="H167" s="443"/>
    </row>
    <row r="168">
      <c r="H168" s="443"/>
    </row>
    <row r="169">
      <c r="H169" s="443"/>
    </row>
    <row r="170">
      <c r="H170" s="443"/>
    </row>
    <row r="171">
      <c r="H171" s="443"/>
    </row>
    <row r="172">
      <c r="H172" s="443"/>
    </row>
    <row r="173">
      <c r="H173" s="443"/>
    </row>
    <row r="174">
      <c r="H174" s="443"/>
    </row>
    <row r="175">
      <c r="H175" s="443"/>
    </row>
    <row r="176">
      <c r="H176" s="443"/>
    </row>
    <row r="177">
      <c r="H177" s="443"/>
    </row>
    <row r="178">
      <c r="H178" s="443"/>
    </row>
    <row r="179">
      <c r="H179" s="443"/>
    </row>
    <row r="180">
      <c r="H180" s="443"/>
    </row>
    <row r="181">
      <c r="H181" s="443"/>
    </row>
    <row r="182">
      <c r="H182" s="443"/>
    </row>
    <row r="183">
      <c r="H183" s="443"/>
    </row>
    <row r="184">
      <c r="H184" s="443"/>
    </row>
    <row r="185">
      <c r="H185" s="443"/>
    </row>
    <row r="186">
      <c r="H186" s="443"/>
    </row>
    <row r="187">
      <c r="H187" s="443"/>
    </row>
    <row r="188">
      <c r="H188" s="443"/>
    </row>
    <row r="189">
      <c r="H189" s="443"/>
    </row>
    <row r="190">
      <c r="H190" s="443"/>
    </row>
    <row r="191">
      <c r="H191" s="443"/>
    </row>
    <row r="192">
      <c r="H192" s="443"/>
    </row>
    <row r="193">
      <c r="H193" s="443"/>
    </row>
    <row r="194">
      <c r="H194" s="443"/>
    </row>
    <row r="195">
      <c r="H195" s="443"/>
    </row>
    <row r="196">
      <c r="H196" s="443"/>
    </row>
    <row r="197">
      <c r="H197" s="443"/>
    </row>
    <row r="198">
      <c r="H198" s="443"/>
    </row>
    <row r="199">
      <c r="H199" s="443"/>
    </row>
    <row r="200">
      <c r="H200" s="443"/>
    </row>
    <row r="201">
      <c r="H201" s="443"/>
    </row>
    <row r="202">
      <c r="H202" s="443"/>
    </row>
    <row r="203">
      <c r="H203" s="443"/>
    </row>
    <row r="204">
      <c r="H204" s="443"/>
    </row>
    <row r="205">
      <c r="H205" s="443"/>
    </row>
    <row r="206">
      <c r="H206" s="443"/>
    </row>
    <row r="207">
      <c r="H207" s="443"/>
    </row>
    <row r="208">
      <c r="H208" s="443"/>
    </row>
    <row r="209">
      <c r="H209" s="443"/>
    </row>
    <row r="210">
      <c r="H210" s="443"/>
    </row>
    <row r="211">
      <c r="H211" s="443"/>
    </row>
    <row r="212">
      <c r="H212" s="443"/>
    </row>
    <row r="213">
      <c r="H213" s="443"/>
    </row>
    <row r="214">
      <c r="H214" s="443"/>
    </row>
    <row r="215">
      <c r="H215" s="443"/>
    </row>
    <row r="216">
      <c r="H216" s="443"/>
    </row>
    <row r="217">
      <c r="H217" s="443"/>
    </row>
    <row r="218">
      <c r="H218" s="443"/>
    </row>
    <row r="219">
      <c r="H219" s="443"/>
    </row>
    <row r="220">
      <c r="H220" s="443"/>
    </row>
    <row r="221">
      <c r="H221" s="443"/>
    </row>
    <row r="222">
      <c r="H222" s="443"/>
    </row>
    <row r="223">
      <c r="H223" s="443"/>
    </row>
    <row r="224">
      <c r="H224" s="443"/>
    </row>
    <row r="225">
      <c r="H225" s="443"/>
    </row>
    <row r="226">
      <c r="H226" s="443"/>
    </row>
    <row r="227">
      <c r="H227" s="443"/>
    </row>
    <row r="228">
      <c r="H228" s="443"/>
    </row>
    <row r="229">
      <c r="H229" s="443"/>
    </row>
    <row r="230">
      <c r="H230" s="443"/>
    </row>
    <row r="231">
      <c r="H231" s="443"/>
    </row>
    <row r="232">
      <c r="H232" s="443"/>
    </row>
    <row r="233">
      <c r="H233" s="443"/>
    </row>
    <row r="234">
      <c r="H234" s="443"/>
    </row>
    <row r="235">
      <c r="H235" s="443"/>
    </row>
    <row r="236">
      <c r="H236" s="443"/>
    </row>
    <row r="237">
      <c r="H237" s="443"/>
    </row>
    <row r="238">
      <c r="H238" s="443"/>
    </row>
    <row r="239">
      <c r="H239" s="443"/>
    </row>
    <row r="240">
      <c r="H240" s="443"/>
    </row>
    <row r="241">
      <c r="H241" s="443"/>
    </row>
    <row r="242">
      <c r="H242" s="443"/>
    </row>
    <row r="243">
      <c r="H243" s="443"/>
    </row>
    <row r="244">
      <c r="H244" s="443"/>
    </row>
    <row r="245">
      <c r="H245" s="443"/>
    </row>
    <row r="246">
      <c r="H246" s="443"/>
    </row>
    <row r="247">
      <c r="H247" s="443"/>
    </row>
    <row r="248">
      <c r="H248" s="443"/>
    </row>
    <row r="249">
      <c r="H249" s="443"/>
    </row>
    <row r="250">
      <c r="H250" s="443"/>
    </row>
    <row r="251">
      <c r="H251" s="443"/>
    </row>
    <row r="252">
      <c r="H252" s="443"/>
    </row>
    <row r="253">
      <c r="H253" s="443"/>
    </row>
    <row r="254">
      <c r="H254" s="443"/>
    </row>
    <row r="255">
      <c r="H255" s="443"/>
    </row>
    <row r="256">
      <c r="H256" s="443"/>
    </row>
    <row r="257">
      <c r="H257" s="443"/>
    </row>
    <row r="258">
      <c r="H258" s="443"/>
    </row>
    <row r="259">
      <c r="H259" s="443"/>
    </row>
    <row r="260">
      <c r="H260" s="443"/>
    </row>
    <row r="261">
      <c r="H261" s="443"/>
    </row>
    <row r="262">
      <c r="H262" s="443"/>
    </row>
    <row r="263">
      <c r="H263" s="443"/>
    </row>
    <row r="264">
      <c r="H264" s="443"/>
    </row>
    <row r="265">
      <c r="H265" s="443"/>
    </row>
    <row r="266">
      <c r="H266" s="443"/>
    </row>
    <row r="267">
      <c r="H267" s="443"/>
    </row>
    <row r="268">
      <c r="H268" s="443"/>
    </row>
    <row r="269">
      <c r="H269" s="443"/>
    </row>
    <row r="270">
      <c r="H270" s="443"/>
    </row>
    <row r="271">
      <c r="H271" s="443"/>
    </row>
    <row r="272">
      <c r="H272" s="443"/>
    </row>
    <row r="273">
      <c r="H273" s="443"/>
    </row>
    <row r="274">
      <c r="H274" s="443"/>
    </row>
    <row r="275">
      <c r="H275" s="443"/>
    </row>
    <row r="276">
      <c r="H276" s="443"/>
    </row>
    <row r="277">
      <c r="H277" s="443"/>
    </row>
    <row r="278">
      <c r="H278" s="443"/>
    </row>
    <row r="279">
      <c r="H279" s="443"/>
    </row>
    <row r="280">
      <c r="H280" s="443"/>
    </row>
    <row r="281">
      <c r="H281" s="443"/>
    </row>
    <row r="282">
      <c r="H282" s="443"/>
    </row>
    <row r="283">
      <c r="H283" s="443"/>
    </row>
    <row r="284">
      <c r="H284" s="443"/>
    </row>
    <row r="285">
      <c r="H285" s="443"/>
    </row>
    <row r="286">
      <c r="H286" s="443"/>
    </row>
    <row r="287">
      <c r="H287" s="443"/>
    </row>
    <row r="288">
      <c r="H288" s="443"/>
    </row>
    <row r="289">
      <c r="H289" s="443"/>
    </row>
    <row r="290">
      <c r="H290" s="443"/>
    </row>
    <row r="291">
      <c r="H291" s="443"/>
    </row>
    <row r="292">
      <c r="H292" s="443"/>
    </row>
    <row r="293">
      <c r="H293" s="443"/>
    </row>
    <row r="294">
      <c r="H294" s="443"/>
    </row>
    <row r="295">
      <c r="H295" s="443"/>
    </row>
    <row r="296">
      <c r="H296" s="443"/>
    </row>
    <row r="297">
      <c r="H297" s="443"/>
    </row>
    <row r="298">
      <c r="H298" s="443"/>
    </row>
    <row r="299">
      <c r="H299" s="443"/>
    </row>
    <row r="300">
      <c r="H300" s="443"/>
    </row>
    <row r="301">
      <c r="H301" s="443"/>
    </row>
    <row r="302">
      <c r="H302" s="443"/>
    </row>
    <row r="303">
      <c r="H303" s="443"/>
    </row>
    <row r="304">
      <c r="H304" s="443"/>
    </row>
    <row r="305">
      <c r="H305" s="443"/>
    </row>
    <row r="306">
      <c r="H306" s="443"/>
    </row>
    <row r="307">
      <c r="H307" s="443"/>
    </row>
    <row r="308">
      <c r="H308" s="443"/>
    </row>
    <row r="309">
      <c r="H309" s="443"/>
    </row>
    <row r="310">
      <c r="H310" s="443"/>
    </row>
    <row r="311">
      <c r="H311" s="443"/>
    </row>
    <row r="312">
      <c r="H312" s="443"/>
    </row>
    <row r="313">
      <c r="H313" s="443"/>
    </row>
    <row r="314">
      <c r="H314" s="443"/>
    </row>
    <row r="315">
      <c r="H315" s="443"/>
    </row>
    <row r="316">
      <c r="H316" s="443"/>
    </row>
    <row r="317">
      <c r="H317" s="443"/>
    </row>
    <row r="318">
      <c r="H318" s="443"/>
    </row>
    <row r="319">
      <c r="H319" s="443"/>
    </row>
    <row r="320">
      <c r="H320" s="443"/>
    </row>
    <row r="321">
      <c r="H321" s="443"/>
    </row>
    <row r="322">
      <c r="H322" s="443"/>
    </row>
    <row r="323">
      <c r="H323" s="443"/>
    </row>
    <row r="324">
      <c r="H324" s="443"/>
    </row>
    <row r="325">
      <c r="H325" s="443"/>
    </row>
    <row r="326">
      <c r="H326" s="443"/>
    </row>
    <row r="327">
      <c r="H327" s="443"/>
    </row>
    <row r="328">
      <c r="H328" s="443"/>
    </row>
    <row r="329">
      <c r="H329" s="443"/>
    </row>
    <row r="330">
      <c r="H330" s="443"/>
    </row>
    <row r="331">
      <c r="H331" s="443"/>
    </row>
    <row r="332">
      <c r="H332" s="443"/>
    </row>
    <row r="333">
      <c r="H333" s="443"/>
    </row>
    <row r="334">
      <c r="H334" s="443"/>
    </row>
    <row r="335">
      <c r="H335" s="443"/>
    </row>
    <row r="336">
      <c r="H336" s="443"/>
    </row>
    <row r="337">
      <c r="H337" s="443"/>
    </row>
    <row r="338">
      <c r="H338" s="443"/>
    </row>
    <row r="339">
      <c r="H339" s="443"/>
    </row>
    <row r="340">
      <c r="H340" s="443"/>
    </row>
    <row r="341">
      <c r="H341" s="443"/>
    </row>
    <row r="342">
      <c r="H342" s="443"/>
    </row>
    <row r="343">
      <c r="H343" s="443"/>
    </row>
    <row r="344">
      <c r="H344" s="443"/>
    </row>
    <row r="345">
      <c r="H345" s="443"/>
    </row>
    <row r="346">
      <c r="H346" s="443"/>
    </row>
    <row r="347">
      <c r="H347" s="443"/>
    </row>
    <row r="348">
      <c r="H348" s="443"/>
    </row>
    <row r="349">
      <c r="H349" s="443"/>
    </row>
    <row r="350">
      <c r="H350" s="443"/>
    </row>
    <row r="351">
      <c r="H351" s="443"/>
    </row>
    <row r="352">
      <c r="H352" s="443"/>
    </row>
    <row r="353">
      <c r="H353" s="443"/>
    </row>
    <row r="354">
      <c r="H354" s="443"/>
    </row>
    <row r="355">
      <c r="H355" s="443"/>
    </row>
    <row r="356">
      <c r="H356" s="443"/>
    </row>
    <row r="357">
      <c r="H357" s="443"/>
    </row>
    <row r="358">
      <c r="H358" s="443"/>
    </row>
    <row r="359">
      <c r="H359" s="443"/>
    </row>
    <row r="360">
      <c r="H360" s="443"/>
    </row>
    <row r="361">
      <c r="H361" s="443"/>
    </row>
    <row r="362">
      <c r="H362" s="443"/>
    </row>
    <row r="363">
      <c r="H363" s="443"/>
    </row>
    <row r="364">
      <c r="H364" s="443"/>
    </row>
    <row r="365">
      <c r="H365" s="443"/>
    </row>
    <row r="366">
      <c r="H366" s="443"/>
    </row>
    <row r="367">
      <c r="H367" s="443"/>
    </row>
    <row r="368">
      <c r="H368" s="443"/>
    </row>
    <row r="369">
      <c r="H369" s="443"/>
    </row>
    <row r="370">
      <c r="H370" s="443"/>
    </row>
    <row r="371">
      <c r="H371" s="443"/>
    </row>
    <row r="372">
      <c r="H372" s="443"/>
    </row>
    <row r="373">
      <c r="H373" s="443"/>
    </row>
    <row r="374">
      <c r="H374" s="443"/>
    </row>
    <row r="375">
      <c r="H375" s="443"/>
    </row>
    <row r="376">
      <c r="H376" s="443"/>
    </row>
    <row r="377">
      <c r="H377" s="443"/>
    </row>
    <row r="378">
      <c r="H378" s="443"/>
    </row>
    <row r="379">
      <c r="H379" s="443"/>
    </row>
    <row r="380">
      <c r="H380" s="443"/>
    </row>
    <row r="381">
      <c r="H381" s="443"/>
    </row>
    <row r="382">
      <c r="H382" s="443"/>
    </row>
    <row r="383">
      <c r="H383" s="443"/>
    </row>
    <row r="384">
      <c r="H384" s="443"/>
    </row>
    <row r="385">
      <c r="H385" s="443"/>
    </row>
    <row r="386">
      <c r="H386" s="443"/>
    </row>
    <row r="387">
      <c r="H387" s="443"/>
    </row>
    <row r="388">
      <c r="H388" s="443"/>
    </row>
    <row r="389">
      <c r="H389" s="443"/>
    </row>
    <row r="390">
      <c r="H390" s="443"/>
    </row>
    <row r="391">
      <c r="H391" s="443"/>
    </row>
    <row r="392">
      <c r="H392" s="443"/>
    </row>
    <row r="393">
      <c r="H393" s="443"/>
    </row>
    <row r="394">
      <c r="H394" s="443"/>
    </row>
    <row r="395">
      <c r="H395" s="443"/>
    </row>
    <row r="396">
      <c r="H396" s="443"/>
    </row>
    <row r="397">
      <c r="H397" s="443"/>
    </row>
    <row r="398">
      <c r="H398" s="443"/>
    </row>
    <row r="399">
      <c r="H399" s="443"/>
    </row>
    <row r="400">
      <c r="H400" s="443"/>
    </row>
    <row r="401">
      <c r="H401" s="443"/>
    </row>
    <row r="402">
      <c r="H402" s="443"/>
    </row>
    <row r="403">
      <c r="H403" s="443"/>
    </row>
    <row r="404">
      <c r="H404" s="443"/>
    </row>
    <row r="405">
      <c r="H405" s="443"/>
    </row>
    <row r="406">
      <c r="H406" s="443"/>
    </row>
    <row r="407">
      <c r="H407" s="443"/>
    </row>
    <row r="408">
      <c r="H408" s="443"/>
    </row>
    <row r="409">
      <c r="H409" s="443"/>
    </row>
    <row r="410">
      <c r="H410" s="443"/>
    </row>
    <row r="411">
      <c r="H411" s="443"/>
    </row>
    <row r="412">
      <c r="H412" s="443"/>
    </row>
    <row r="413">
      <c r="H413" s="443"/>
    </row>
    <row r="414">
      <c r="H414" s="443"/>
    </row>
    <row r="415">
      <c r="H415" s="443"/>
    </row>
    <row r="416">
      <c r="H416" s="443"/>
    </row>
    <row r="417">
      <c r="H417" s="443"/>
    </row>
    <row r="418">
      <c r="H418" s="443"/>
    </row>
    <row r="419">
      <c r="H419" s="443"/>
    </row>
    <row r="420">
      <c r="H420" s="443"/>
    </row>
    <row r="421">
      <c r="H421" s="443"/>
    </row>
    <row r="422">
      <c r="H422" s="443"/>
    </row>
    <row r="423">
      <c r="H423" s="443"/>
    </row>
    <row r="424">
      <c r="H424" s="443"/>
    </row>
    <row r="425">
      <c r="H425" s="443"/>
    </row>
    <row r="426">
      <c r="H426" s="443"/>
    </row>
    <row r="427">
      <c r="H427" s="443"/>
    </row>
    <row r="428">
      <c r="H428" s="443"/>
    </row>
    <row r="429">
      <c r="H429" s="443"/>
    </row>
    <row r="430">
      <c r="H430" s="443"/>
    </row>
    <row r="431">
      <c r="H431" s="443"/>
    </row>
    <row r="432">
      <c r="H432" s="443"/>
    </row>
    <row r="433">
      <c r="H433" s="443"/>
    </row>
    <row r="434">
      <c r="H434" s="443"/>
    </row>
    <row r="435">
      <c r="H435" s="443"/>
    </row>
    <row r="436">
      <c r="H436" s="443"/>
    </row>
    <row r="437">
      <c r="H437" s="443"/>
    </row>
    <row r="438">
      <c r="H438" s="443"/>
    </row>
    <row r="439">
      <c r="H439" s="443"/>
    </row>
    <row r="440">
      <c r="H440" s="443"/>
    </row>
    <row r="441">
      <c r="H441" s="443"/>
    </row>
    <row r="442">
      <c r="H442" s="443"/>
    </row>
    <row r="443">
      <c r="H443" s="443"/>
    </row>
    <row r="444">
      <c r="H444" s="443"/>
    </row>
    <row r="445">
      <c r="H445" s="443"/>
    </row>
    <row r="446">
      <c r="H446" s="443"/>
    </row>
    <row r="447">
      <c r="H447" s="443"/>
    </row>
    <row r="448">
      <c r="H448" s="443"/>
    </row>
    <row r="449">
      <c r="H449" s="443"/>
    </row>
    <row r="450">
      <c r="H450" s="443"/>
    </row>
    <row r="451">
      <c r="H451" s="443"/>
    </row>
    <row r="452">
      <c r="H452" s="443"/>
    </row>
    <row r="453">
      <c r="H453" s="443"/>
    </row>
    <row r="454">
      <c r="H454" s="443"/>
    </row>
    <row r="455">
      <c r="H455" s="443"/>
    </row>
    <row r="456">
      <c r="H456" s="443"/>
    </row>
    <row r="457">
      <c r="H457" s="443"/>
    </row>
    <row r="458">
      <c r="H458" s="443"/>
    </row>
    <row r="459">
      <c r="H459" s="443"/>
    </row>
    <row r="460">
      <c r="H460" s="443"/>
    </row>
    <row r="461">
      <c r="H461" s="443"/>
    </row>
    <row r="462">
      <c r="H462" s="443"/>
    </row>
    <row r="463">
      <c r="H463" s="443"/>
    </row>
    <row r="464">
      <c r="H464" s="443"/>
    </row>
    <row r="465">
      <c r="H465" s="443"/>
    </row>
    <row r="466">
      <c r="H466" s="443"/>
    </row>
    <row r="467">
      <c r="H467" s="443"/>
    </row>
    <row r="468">
      <c r="H468" s="443"/>
    </row>
    <row r="469">
      <c r="H469" s="443"/>
    </row>
    <row r="470">
      <c r="H470" s="443"/>
    </row>
    <row r="471">
      <c r="H471" s="443"/>
    </row>
    <row r="472">
      <c r="H472" s="443"/>
    </row>
    <row r="473">
      <c r="H473" s="443"/>
    </row>
    <row r="474">
      <c r="H474" s="443"/>
    </row>
    <row r="475">
      <c r="H475" s="443"/>
    </row>
    <row r="476">
      <c r="H476" s="443"/>
    </row>
    <row r="477">
      <c r="H477" s="443"/>
    </row>
    <row r="478">
      <c r="H478" s="443"/>
    </row>
    <row r="479">
      <c r="H479" s="443"/>
    </row>
    <row r="480">
      <c r="H480" s="443"/>
    </row>
    <row r="481">
      <c r="H481" s="443"/>
    </row>
    <row r="482">
      <c r="H482" s="443"/>
    </row>
    <row r="483">
      <c r="H483" s="443"/>
    </row>
    <row r="484">
      <c r="H484" s="443"/>
    </row>
    <row r="485">
      <c r="H485" s="443"/>
    </row>
    <row r="486">
      <c r="H486" s="443"/>
    </row>
    <row r="487">
      <c r="H487" s="443"/>
    </row>
    <row r="488">
      <c r="H488" s="443"/>
    </row>
    <row r="489">
      <c r="H489" s="443"/>
    </row>
    <row r="490">
      <c r="H490" s="443"/>
    </row>
    <row r="491">
      <c r="H491" s="443"/>
    </row>
    <row r="492">
      <c r="H492" s="443"/>
    </row>
    <row r="493">
      <c r="H493" s="443"/>
    </row>
    <row r="494">
      <c r="H494" s="443"/>
    </row>
    <row r="495">
      <c r="H495" s="443"/>
    </row>
    <row r="496">
      <c r="H496" s="443"/>
    </row>
    <row r="497">
      <c r="H497" s="443"/>
    </row>
    <row r="498">
      <c r="H498" s="443"/>
    </row>
    <row r="499">
      <c r="H499" s="443"/>
    </row>
    <row r="500">
      <c r="H500" s="443"/>
    </row>
    <row r="501">
      <c r="H501" s="443"/>
    </row>
    <row r="502">
      <c r="H502" s="443"/>
    </row>
    <row r="503">
      <c r="H503" s="443"/>
    </row>
    <row r="504">
      <c r="H504" s="443"/>
    </row>
    <row r="505">
      <c r="H505" s="443"/>
    </row>
    <row r="506">
      <c r="H506" s="443"/>
    </row>
    <row r="507">
      <c r="H507" s="443"/>
    </row>
    <row r="508">
      <c r="H508" s="443"/>
    </row>
    <row r="509">
      <c r="H509" s="443"/>
    </row>
    <row r="510">
      <c r="H510" s="443"/>
    </row>
    <row r="511">
      <c r="H511" s="443"/>
    </row>
    <row r="512">
      <c r="H512" s="443"/>
    </row>
    <row r="513">
      <c r="H513" s="443"/>
    </row>
    <row r="514">
      <c r="H514" s="443"/>
    </row>
    <row r="515">
      <c r="H515" s="443"/>
    </row>
    <row r="516">
      <c r="H516" s="443"/>
    </row>
    <row r="517">
      <c r="H517" s="443"/>
    </row>
    <row r="518">
      <c r="H518" s="443"/>
    </row>
    <row r="519">
      <c r="H519" s="443"/>
    </row>
    <row r="520">
      <c r="H520" s="443"/>
    </row>
    <row r="521">
      <c r="H521" s="443"/>
    </row>
    <row r="522">
      <c r="H522" s="443"/>
    </row>
    <row r="523">
      <c r="H523" s="443"/>
    </row>
    <row r="524">
      <c r="H524" s="443"/>
    </row>
    <row r="525">
      <c r="H525" s="443"/>
    </row>
    <row r="526">
      <c r="H526" s="443"/>
    </row>
    <row r="527">
      <c r="H527" s="443"/>
    </row>
    <row r="528">
      <c r="H528" s="443"/>
    </row>
    <row r="529">
      <c r="H529" s="443"/>
    </row>
    <row r="530">
      <c r="H530" s="443"/>
    </row>
    <row r="531">
      <c r="H531" s="443"/>
    </row>
    <row r="532">
      <c r="H532" s="443"/>
    </row>
    <row r="533">
      <c r="H533" s="443"/>
    </row>
    <row r="534">
      <c r="H534" s="443"/>
    </row>
    <row r="535">
      <c r="H535" s="443"/>
    </row>
    <row r="536">
      <c r="H536" s="443"/>
    </row>
    <row r="537">
      <c r="H537" s="443"/>
    </row>
    <row r="538">
      <c r="H538" s="443"/>
    </row>
    <row r="539">
      <c r="H539" s="443"/>
    </row>
    <row r="540">
      <c r="H540" s="443"/>
    </row>
    <row r="541">
      <c r="H541" s="443"/>
    </row>
    <row r="542">
      <c r="H542" s="443"/>
    </row>
    <row r="543">
      <c r="H543" s="443"/>
    </row>
    <row r="544">
      <c r="H544" s="443"/>
    </row>
    <row r="545">
      <c r="H545" s="443"/>
    </row>
    <row r="546">
      <c r="H546" s="443"/>
    </row>
    <row r="547">
      <c r="H547" s="443"/>
    </row>
    <row r="548">
      <c r="H548" s="443"/>
    </row>
    <row r="549">
      <c r="H549" s="443"/>
    </row>
    <row r="550">
      <c r="H550" s="443"/>
    </row>
    <row r="551">
      <c r="H551" s="443"/>
    </row>
    <row r="552">
      <c r="H552" s="443"/>
    </row>
    <row r="553">
      <c r="H553" s="443"/>
    </row>
    <row r="554">
      <c r="H554" s="443"/>
    </row>
    <row r="555">
      <c r="H555" s="443"/>
    </row>
    <row r="556">
      <c r="H556" s="443"/>
    </row>
    <row r="557">
      <c r="H557" s="443"/>
    </row>
    <row r="558">
      <c r="H558" s="443"/>
    </row>
    <row r="559">
      <c r="H559" s="443"/>
    </row>
    <row r="560">
      <c r="H560" s="443"/>
    </row>
    <row r="561">
      <c r="H561" s="443"/>
    </row>
    <row r="562">
      <c r="H562" s="443"/>
    </row>
    <row r="563">
      <c r="H563" s="443"/>
    </row>
    <row r="564">
      <c r="H564" s="443"/>
    </row>
    <row r="565">
      <c r="H565" s="443"/>
    </row>
    <row r="566">
      <c r="H566" s="443"/>
    </row>
    <row r="567">
      <c r="H567" s="443"/>
    </row>
    <row r="568">
      <c r="H568" s="443"/>
    </row>
    <row r="569">
      <c r="H569" s="443"/>
    </row>
    <row r="570">
      <c r="H570" s="443"/>
    </row>
    <row r="571">
      <c r="H571" s="443"/>
    </row>
    <row r="572">
      <c r="H572" s="443"/>
    </row>
    <row r="573">
      <c r="H573" s="443"/>
    </row>
    <row r="574">
      <c r="H574" s="443"/>
    </row>
    <row r="575">
      <c r="H575" s="443"/>
    </row>
    <row r="576">
      <c r="H576" s="443"/>
    </row>
    <row r="577">
      <c r="H577" s="443"/>
    </row>
    <row r="578">
      <c r="H578" s="443"/>
    </row>
    <row r="579">
      <c r="H579" s="443"/>
    </row>
    <row r="580">
      <c r="H580" s="443"/>
    </row>
    <row r="581">
      <c r="H581" s="443"/>
    </row>
    <row r="582">
      <c r="H582" s="443"/>
    </row>
    <row r="583">
      <c r="H583" s="443"/>
    </row>
    <row r="584">
      <c r="H584" s="443"/>
    </row>
    <row r="585">
      <c r="H585" s="443"/>
    </row>
    <row r="586">
      <c r="H586" s="443"/>
    </row>
    <row r="587">
      <c r="H587" s="443"/>
    </row>
    <row r="588">
      <c r="H588" s="443"/>
    </row>
    <row r="589">
      <c r="H589" s="443"/>
    </row>
    <row r="590">
      <c r="H590" s="443"/>
    </row>
    <row r="591">
      <c r="H591" s="443"/>
    </row>
    <row r="592">
      <c r="H592" s="443"/>
    </row>
    <row r="593">
      <c r="H593" s="443"/>
    </row>
    <row r="594">
      <c r="H594" s="443"/>
    </row>
    <row r="595">
      <c r="H595" s="443"/>
    </row>
    <row r="596">
      <c r="H596" s="443"/>
    </row>
    <row r="597">
      <c r="H597" s="443"/>
    </row>
    <row r="598">
      <c r="H598" s="443"/>
    </row>
    <row r="599">
      <c r="H599" s="443"/>
    </row>
    <row r="600">
      <c r="H600" s="443"/>
    </row>
    <row r="601">
      <c r="H601" s="443"/>
    </row>
    <row r="602">
      <c r="H602" s="443"/>
    </row>
    <row r="603">
      <c r="H603" s="443"/>
    </row>
    <row r="604">
      <c r="H604" s="443"/>
    </row>
    <row r="605">
      <c r="H605" s="443"/>
    </row>
    <row r="606">
      <c r="H606" s="443"/>
    </row>
    <row r="607">
      <c r="H607" s="443"/>
    </row>
    <row r="608">
      <c r="H608" s="443"/>
    </row>
    <row r="609">
      <c r="H609" s="443"/>
    </row>
    <row r="610">
      <c r="H610" s="443"/>
    </row>
    <row r="611">
      <c r="H611" s="443"/>
    </row>
    <row r="612">
      <c r="H612" s="443"/>
    </row>
    <row r="613">
      <c r="H613" s="443"/>
    </row>
    <row r="614">
      <c r="H614" s="443"/>
    </row>
    <row r="615">
      <c r="H615" s="443"/>
    </row>
    <row r="616">
      <c r="H616" s="443"/>
    </row>
    <row r="617">
      <c r="H617" s="443"/>
    </row>
    <row r="618">
      <c r="H618" s="443"/>
    </row>
    <row r="619">
      <c r="H619" s="443"/>
    </row>
    <row r="620">
      <c r="H620" s="443"/>
    </row>
    <row r="621">
      <c r="H621" s="443"/>
    </row>
    <row r="622">
      <c r="H622" s="443"/>
    </row>
    <row r="623">
      <c r="H623" s="443"/>
    </row>
    <row r="624">
      <c r="H624" s="443"/>
    </row>
    <row r="625">
      <c r="H625" s="443"/>
    </row>
    <row r="626">
      <c r="H626" s="443"/>
    </row>
    <row r="627">
      <c r="H627" s="443"/>
    </row>
    <row r="628">
      <c r="H628" s="443"/>
    </row>
    <row r="629">
      <c r="H629" s="443"/>
    </row>
    <row r="630">
      <c r="H630" s="443"/>
    </row>
    <row r="631">
      <c r="H631" s="443"/>
    </row>
    <row r="632">
      <c r="H632" s="443"/>
    </row>
    <row r="633">
      <c r="H633" s="443"/>
    </row>
    <row r="634">
      <c r="H634" s="443"/>
    </row>
    <row r="635">
      <c r="H635" s="443"/>
    </row>
    <row r="636">
      <c r="H636" s="443"/>
    </row>
    <row r="637">
      <c r="H637" s="443"/>
    </row>
    <row r="638">
      <c r="H638" s="443"/>
    </row>
    <row r="639">
      <c r="H639" s="443"/>
    </row>
    <row r="640">
      <c r="H640" s="443"/>
    </row>
    <row r="641">
      <c r="H641" s="443"/>
    </row>
    <row r="642">
      <c r="H642" s="443"/>
    </row>
    <row r="643">
      <c r="H643" s="443"/>
    </row>
    <row r="644">
      <c r="H644" s="443"/>
    </row>
    <row r="645">
      <c r="H645" s="443"/>
    </row>
    <row r="646">
      <c r="H646" s="443"/>
    </row>
    <row r="647">
      <c r="H647" s="443"/>
    </row>
    <row r="648">
      <c r="H648" s="443"/>
    </row>
    <row r="649">
      <c r="H649" s="443"/>
    </row>
    <row r="650">
      <c r="H650" s="443"/>
    </row>
    <row r="651">
      <c r="H651" s="443"/>
    </row>
    <row r="652">
      <c r="H652" s="443"/>
    </row>
    <row r="653">
      <c r="H653" s="443"/>
    </row>
    <row r="654">
      <c r="H654" s="443"/>
    </row>
    <row r="655">
      <c r="H655" s="443"/>
    </row>
    <row r="656">
      <c r="H656" s="443"/>
    </row>
    <row r="657">
      <c r="H657" s="443"/>
    </row>
    <row r="658">
      <c r="H658" s="443"/>
    </row>
    <row r="659">
      <c r="H659" s="443"/>
    </row>
    <row r="660">
      <c r="H660" s="443"/>
    </row>
    <row r="661">
      <c r="H661" s="443"/>
    </row>
    <row r="662">
      <c r="H662" s="443"/>
    </row>
    <row r="663">
      <c r="H663" s="443"/>
    </row>
    <row r="664">
      <c r="H664" s="443"/>
    </row>
    <row r="665">
      <c r="H665" s="443"/>
    </row>
    <row r="666">
      <c r="H666" s="443"/>
    </row>
    <row r="667">
      <c r="H667" s="443"/>
    </row>
    <row r="668">
      <c r="H668" s="443"/>
    </row>
    <row r="669">
      <c r="H669" s="443"/>
    </row>
    <row r="670">
      <c r="H670" s="443"/>
    </row>
    <row r="671">
      <c r="H671" s="443"/>
    </row>
    <row r="672">
      <c r="H672" s="443"/>
    </row>
    <row r="673">
      <c r="H673" s="443"/>
    </row>
    <row r="674">
      <c r="H674" s="443"/>
    </row>
    <row r="675">
      <c r="H675" s="443"/>
    </row>
    <row r="676">
      <c r="H676" s="443"/>
    </row>
    <row r="677">
      <c r="H677" s="443"/>
    </row>
    <row r="678">
      <c r="H678" s="443"/>
    </row>
    <row r="679">
      <c r="H679" s="443"/>
    </row>
    <row r="680">
      <c r="H680" s="443"/>
    </row>
    <row r="681">
      <c r="H681" s="443"/>
    </row>
    <row r="682">
      <c r="H682" s="443"/>
    </row>
    <row r="683">
      <c r="H683" s="443"/>
    </row>
    <row r="684">
      <c r="H684" s="443"/>
    </row>
    <row r="685">
      <c r="H685" s="443"/>
    </row>
    <row r="686">
      <c r="H686" s="443"/>
    </row>
    <row r="687">
      <c r="H687" s="443"/>
    </row>
    <row r="688">
      <c r="H688" s="443"/>
    </row>
    <row r="689">
      <c r="H689" s="443"/>
    </row>
    <row r="690">
      <c r="H690" s="443"/>
    </row>
    <row r="691">
      <c r="H691" s="443"/>
    </row>
    <row r="692">
      <c r="H692" s="443"/>
    </row>
    <row r="693">
      <c r="H693" s="443"/>
    </row>
    <row r="694">
      <c r="H694" s="443"/>
    </row>
    <row r="695">
      <c r="H695" s="443"/>
    </row>
    <row r="696">
      <c r="H696" s="443"/>
    </row>
    <row r="697">
      <c r="H697" s="443"/>
    </row>
    <row r="698">
      <c r="H698" s="443"/>
    </row>
    <row r="699">
      <c r="H699" s="443"/>
    </row>
    <row r="700">
      <c r="H700" s="443"/>
    </row>
    <row r="701">
      <c r="H701" s="443"/>
    </row>
    <row r="702">
      <c r="H702" s="443"/>
    </row>
    <row r="703">
      <c r="H703" s="443"/>
    </row>
    <row r="704">
      <c r="H704" s="443"/>
    </row>
    <row r="705">
      <c r="H705" s="443"/>
    </row>
    <row r="706">
      <c r="H706" s="443"/>
    </row>
    <row r="707">
      <c r="H707" s="443"/>
    </row>
    <row r="708">
      <c r="H708" s="443"/>
    </row>
    <row r="709">
      <c r="H709" s="443"/>
    </row>
    <row r="710">
      <c r="H710" s="443"/>
    </row>
    <row r="711">
      <c r="H711" s="443"/>
    </row>
    <row r="712">
      <c r="H712" s="443"/>
    </row>
    <row r="713">
      <c r="H713" s="443"/>
    </row>
    <row r="714">
      <c r="H714" s="443"/>
    </row>
    <row r="715">
      <c r="H715" s="443"/>
    </row>
    <row r="716">
      <c r="H716" s="443"/>
    </row>
    <row r="717">
      <c r="H717" s="443"/>
    </row>
    <row r="718">
      <c r="H718" s="443"/>
    </row>
    <row r="719">
      <c r="H719" s="443"/>
    </row>
    <row r="720">
      <c r="H720" s="443"/>
    </row>
    <row r="721">
      <c r="H721" s="443"/>
    </row>
    <row r="722">
      <c r="H722" s="443"/>
    </row>
    <row r="723">
      <c r="H723" s="443"/>
    </row>
    <row r="724">
      <c r="H724" s="443"/>
    </row>
    <row r="725">
      <c r="H725" s="443"/>
    </row>
    <row r="726">
      <c r="H726" s="443"/>
    </row>
    <row r="727">
      <c r="H727" s="443"/>
    </row>
    <row r="728">
      <c r="H728" s="443"/>
    </row>
    <row r="729">
      <c r="H729" s="443"/>
    </row>
    <row r="730">
      <c r="H730" s="443"/>
    </row>
    <row r="731">
      <c r="H731" s="443"/>
    </row>
    <row r="732">
      <c r="H732" s="443"/>
    </row>
    <row r="733">
      <c r="H733" s="443"/>
    </row>
    <row r="734">
      <c r="H734" s="443"/>
    </row>
    <row r="735">
      <c r="H735" s="443"/>
    </row>
    <row r="736">
      <c r="H736" s="443"/>
    </row>
    <row r="737">
      <c r="H737" s="443"/>
    </row>
    <row r="738">
      <c r="H738" s="443"/>
    </row>
    <row r="739">
      <c r="H739" s="443"/>
    </row>
    <row r="740">
      <c r="H740" s="443"/>
    </row>
    <row r="741">
      <c r="H741" s="443"/>
    </row>
    <row r="742">
      <c r="H742" s="443"/>
    </row>
    <row r="743">
      <c r="H743" s="443"/>
    </row>
    <row r="744">
      <c r="H744" s="443"/>
    </row>
    <row r="745">
      <c r="H745" s="443"/>
    </row>
    <row r="746">
      <c r="H746" s="443"/>
    </row>
    <row r="747">
      <c r="H747" s="443"/>
    </row>
    <row r="748">
      <c r="H748" s="443"/>
    </row>
    <row r="749">
      <c r="H749" s="443"/>
    </row>
    <row r="750">
      <c r="H750" s="443"/>
    </row>
    <row r="751">
      <c r="H751" s="443"/>
    </row>
    <row r="752">
      <c r="H752" s="443"/>
    </row>
    <row r="753">
      <c r="H753" s="443"/>
    </row>
    <row r="754">
      <c r="H754" s="443"/>
    </row>
    <row r="755">
      <c r="H755" s="443"/>
    </row>
    <row r="756">
      <c r="H756" s="443"/>
    </row>
    <row r="757">
      <c r="H757" s="443"/>
    </row>
    <row r="758">
      <c r="H758" s="443"/>
    </row>
    <row r="759">
      <c r="H759" s="443"/>
    </row>
    <row r="760">
      <c r="H760" s="443"/>
    </row>
    <row r="761">
      <c r="H761" s="443"/>
    </row>
    <row r="762">
      <c r="H762" s="443"/>
    </row>
    <row r="763">
      <c r="H763" s="443"/>
    </row>
    <row r="764">
      <c r="H764" s="443"/>
    </row>
    <row r="765">
      <c r="H765" s="443"/>
    </row>
    <row r="766">
      <c r="H766" s="443"/>
    </row>
    <row r="767">
      <c r="H767" s="443"/>
    </row>
    <row r="768">
      <c r="H768" s="443"/>
    </row>
    <row r="769">
      <c r="H769" s="443"/>
    </row>
    <row r="770">
      <c r="H770" s="443"/>
    </row>
    <row r="771">
      <c r="H771" s="443"/>
    </row>
    <row r="772">
      <c r="H772" s="443"/>
    </row>
    <row r="773">
      <c r="H773" s="443"/>
    </row>
    <row r="774">
      <c r="H774" s="443"/>
    </row>
    <row r="775">
      <c r="H775" s="443"/>
    </row>
    <row r="776">
      <c r="H776" s="443"/>
    </row>
    <row r="777">
      <c r="H777" s="443"/>
    </row>
    <row r="778">
      <c r="H778" s="443"/>
    </row>
    <row r="779">
      <c r="H779" s="443"/>
    </row>
    <row r="780">
      <c r="H780" s="443"/>
    </row>
    <row r="781">
      <c r="H781" s="443"/>
    </row>
    <row r="782">
      <c r="H782" s="443"/>
    </row>
    <row r="783">
      <c r="H783" s="443"/>
    </row>
    <row r="784">
      <c r="H784" s="443"/>
    </row>
    <row r="785">
      <c r="H785" s="443"/>
    </row>
    <row r="786">
      <c r="H786" s="443"/>
    </row>
    <row r="787">
      <c r="H787" s="443"/>
    </row>
    <row r="788">
      <c r="H788" s="443"/>
    </row>
    <row r="789">
      <c r="H789" s="443"/>
    </row>
    <row r="790">
      <c r="H790" s="443"/>
    </row>
    <row r="791">
      <c r="H791" s="443"/>
    </row>
    <row r="792">
      <c r="H792" s="443"/>
    </row>
    <row r="793">
      <c r="H793" s="443"/>
    </row>
    <row r="794">
      <c r="H794" s="443"/>
    </row>
    <row r="795">
      <c r="H795" s="443"/>
    </row>
    <row r="796">
      <c r="H796" s="443"/>
    </row>
    <row r="797">
      <c r="H797" s="443"/>
    </row>
    <row r="798">
      <c r="H798" s="443"/>
    </row>
    <row r="799">
      <c r="H799" s="443"/>
    </row>
    <row r="800">
      <c r="H800" s="443"/>
    </row>
    <row r="801">
      <c r="H801" s="443"/>
    </row>
    <row r="802">
      <c r="H802" s="443"/>
    </row>
    <row r="803">
      <c r="H803" s="443"/>
    </row>
    <row r="804">
      <c r="H804" s="443"/>
    </row>
    <row r="805">
      <c r="H805" s="443"/>
    </row>
    <row r="806">
      <c r="H806" s="443"/>
    </row>
    <row r="807">
      <c r="H807" s="443"/>
    </row>
    <row r="808">
      <c r="H808" s="443"/>
    </row>
    <row r="809">
      <c r="H809" s="443"/>
    </row>
    <row r="810">
      <c r="H810" s="443"/>
    </row>
    <row r="811">
      <c r="H811" s="443"/>
    </row>
    <row r="812">
      <c r="H812" s="443"/>
    </row>
    <row r="813">
      <c r="H813" s="443"/>
    </row>
    <row r="814">
      <c r="H814" s="443"/>
    </row>
    <row r="815">
      <c r="H815" s="443"/>
    </row>
    <row r="816">
      <c r="H816" s="443"/>
    </row>
    <row r="817">
      <c r="H817" s="443"/>
    </row>
    <row r="818">
      <c r="H818" s="443"/>
    </row>
    <row r="819">
      <c r="H819" s="443"/>
    </row>
    <row r="820">
      <c r="H820" s="443"/>
    </row>
    <row r="821">
      <c r="H821" s="443"/>
    </row>
    <row r="822">
      <c r="H822" s="443"/>
    </row>
    <row r="823">
      <c r="H823" s="443"/>
    </row>
    <row r="824">
      <c r="H824" s="443"/>
    </row>
    <row r="825">
      <c r="H825" s="443"/>
    </row>
    <row r="826">
      <c r="H826" s="443"/>
    </row>
    <row r="827">
      <c r="H827" s="443"/>
    </row>
    <row r="828">
      <c r="H828" s="443"/>
    </row>
    <row r="829">
      <c r="H829" s="443"/>
    </row>
    <row r="830">
      <c r="H830" s="443"/>
    </row>
    <row r="831">
      <c r="H831" s="443"/>
    </row>
    <row r="832">
      <c r="H832" s="443"/>
    </row>
    <row r="833">
      <c r="H833" s="443"/>
    </row>
    <row r="834">
      <c r="H834" s="443"/>
    </row>
    <row r="835">
      <c r="H835" s="443"/>
    </row>
    <row r="836">
      <c r="H836" s="443"/>
    </row>
    <row r="837">
      <c r="H837" s="443"/>
    </row>
    <row r="838">
      <c r="H838" s="443"/>
    </row>
    <row r="839">
      <c r="H839" s="443"/>
    </row>
    <row r="840">
      <c r="H840" s="443"/>
    </row>
    <row r="841">
      <c r="H841" s="443"/>
    </row>
    <row r="842">
      <c r="H842" s="443"/>
    </row>
    <row r="843">
      <c r="H843" s="443"/>
    </row>
    <row r="844">
      <c r="H844" s="443"/>
    </row>
    <row r="845">
      <c r="H845" s="443"/>
    </row>
    <row r="846">
      <c r="H846" s="443"/>
    </row>
    <row r="847">
      <c r="H847" s="443"/>
    </row>
    <row r="848">
      <c r="H848" s="443"/>
    </row>
    <row r="849">
      <c r="H849" s="443"/>
    </row>
    <row r="850">
      <c r="H850" s="443"/>
    </row>
    <row r="851">
      <c r="H851" s="443"/>
    </row>
    <row r="852">
      <c r="H852" s="443"/>
    </row>
    <row r="853">
      <c r="H853" s="443"/>
    </row>
    <row r="854">
      <c r="H854" s="443"/>
    </row>
    <row r="855">
      <c r="H855" s="443"/>
    </row>
    <row r="856">
      <c r="H856" s="443"/>
    </row>
    <row r="857">
      <c r="H857" s="443"/>
    </row>
    <row r="858">
      <c r="H858" s="443"/>
    </row>
    <row r="859">
      <c r="H859" s="443"/>
    </row>
    <row r="860">
      <c r="H860" s="443"/>
    </row>
    <row r="861">
      <c r="H861" s="443"/>
    </row>
    <row r="862">
      <c r="H862" s="443"/>
    </row>
    <row r="863">
      <c r="H863" s="443"/>
    </row>
    <row r="864">
      <c r="H864" s="443"/>
    </row>
    <row r="865">
      <c r="H865" s="443"/>
    </row>
    <row r="866">
      <c r="H866" s="443"/>
    </row>
    <row r="867">
      <c r="H867" s="443"/>
    </row>
    <row r="868">
      <c r="H868" s="443"/>
    </row>
    <row r="869">
      <c r="H869" s="443"/>
    </row>
    <row r="870">
      <c r="H870" s="443"/>
    </row>
    <row r="871">
      <c r="H871" s="443"/>
    </row>
    <row r="872">
      <c r="H872" s="443"/>
    </row>
    <row r="873">
      <c r="H873" s="443"/>
    </row>
    <row r="874">
      <c r="H874" s="443"/>
    </row>
    <row r="875">
      <c r="H875" s="443"/>
    </row>
    <row r="876">
      <c r="H876" s="443"/>
    </row>
    <row r="877">
      <c r="H877" s="443"/>
    </row>
    <row r="878">
      <c r="H878" s="443"/>
    </row>
    <row r="879">
      <c r="H879" s="443"/>
    </row>
    <row r="880">
      <c r="H880" s="443"/>
    </row>
    <row r="881">
      <c r="H881" s="443"/>
    </row>
    <row r="882">
      <c r="H882" s="443"/>
    </row>
    <row r="883">
      <c r="H883" s="443"/>
    </row>
    <row r="884">
      <c r="H884" s="443"/>
    </row>
    <row r="885">
      <c r="H885" s="443"/>
    </row>
    <row r="886">
      <c r="H886" s="443"/>
    </row>
    <row r="887">
      <c r="H887" s="443"/>
    </row>
    <row r="888">
      <c r="H888" s="443"/>
    </row>
    <row r="889">
      <c r="H889" s="443"/>
    </row>
    <row r="890">
      <c r="H890" s="443"/>
    </row>
    <row r="891">
      <c r="H891" s="443"/>
    </row>
    <row r="892">
      <c r="H892" s="443"/>
    </row>
    <row r="893">
      <c r="H893" s="443"/>
    </row>
    <row r="894">
      <c r="H894" s="443"/>
    </row>
    <row r="895">
      <c r="H895" s="443"/>
    </row>
    <row r="896">
      <c r="H896" s="443"/>
    </row>
    <row r="897">
      <c r="H897" s="443"/>
    </row>
    <row r="898">
      <c r="H898" s="443"/>
    </row>
    <row r="899">
      <c r="H899" s="443"/>
    </row>
    <row r="900">
      <c r="H900" s="443"/>
    </row>
    <row r="901">
      <c r="H901" s="443"/>
    </row>
    <row r="902">
      <c r="H902" s="443"/>
    </row>
    <row r="903">
      <c r="H903" s="443"/>
    </row>
    <row r="904">
      <c r="H904" s="443"/>
    </row>
    <row r="905">
      <c r="H905" s="443"/>
    </row>
    <row r="906">
      <c r="H906" s="443"/>
    </row>
    <row r="907">
      <c r="H907" s="443"/>
    </row>
    <row r="908">
      <c r="H908" s="443"/>
    </row>
    <row r="909">
      <c r="H909" s="443"/>
    </row>
    <row r="910">
      <c r="H910" s="443"/>
    </row>
    <row r="911">
      <c r="H911" s="443"/>
    </row>
    <row r="912">
      <c r="H912" s="443"/>
    </row>
    <row r="913">
      <c r="H913" s="443"/>
    </row>
    <row r="914">
      <c r="H914" s="443"/>
    </row>
    <row r="915">
      <c r="H915" s="443"/>
    </row>
    <row r="916">
      <c r="H916" s="443"/>
    </row>
    <row r="917">
      <c r="H917" s="443"/>
    </row>
    <row r="918">
      <c r="H918" s="443"/>
    </row>
    <row r="919">
      <c r="H919" s="443"/>
    </row>
    <row r="920">
      <c r="H920" s="443"/>
    </row>
    <row r="921">
      <c r="H921" s="443"/>
    </row>
    <row r="922">
      <c r="H922" s="443"/>
    </row>
    <row r="923">
      <c r="H923" s="443"/>
    </row>
    <row r="924">
      <c r="H924" s="443"/>
    </row>
    <row r="925">
      <c r="H925" s="443"/>
    </row>
    <row r="926">
      <c r="H926" s="443"/>
    </row>
    <row r="927">
      <c r="H927" s="443"/>
    </row>
    <row r="928">
      <c r="H928" s="443"/>
    </row>
    <row r="929">
      <c r="H929" s="443"/>
    </row>
    <row r="930">
      <c r="H930" s="443"/>
    </row>
    <row r="931">
      <c r="H931" s="443"/>
    </row>
    <row r="932">
      <c r="H932" s="443"/>
    </row>
    <row r="933">
      <c r="H933" s="443"/>
    </row>
    <row r="934">
      <c r="H934" s="443"/>
    </row>
    <row r="935">
      <c r="H935" s="443"/>
    </row>
    <row r="936">
      <c r="H936" s="443"/>
    </row>
    <row r="937">
      <c r="H937" s="443"/>
    </row>
    <row r="938">
      <c r="H938" s="443"/>
    </row>
    <row r="939">
      <c r="H939" s="443"/>
    </row>
    <row r="940">
      <c r="H940" s="443"/>
    </row>
    <row r="941">
      <c r="H941" s="443"/>
    </row>
    <row r="942">
      <c r="H942" s="443"/>
    </row>
    <row r="943">
      <c r="H943" s="443"/>
    </row>
    <row r="944">
      <c r="H944" s="443"/>
    </row>
    <row r="945">
      <c r="H945" s="443"/>
    </row>
    <row r="946">
      <c r="H946" s="443"/>
    </row>
    <row r="947">
      <c r="H947" s="443"/>
    </row>
    <row r="948">
      <c r="H948" s="443"/>
    </row>
    <row r="949">
      <c r="H949" s="443"/>
    </row>
    <row r="950">
      <c r="H950" s="443"/>
    </row>
    <row r="951">
      <c r="H951" s="443"/>
    </row>
    <row r="952">
      <c r="H952" s="443"/>
    </row>
    <row r="953">
      <c r="H953" s="443"/>
    </row>
    <row r="954">
      <c r="H954" s="443"/>
    </row>
    <row r="955">
      <c r="H955" s="443"/>
    </row>
    <row r="956">
      <c r="H956" s="443"/>
    </row>
    <row r="957">
      <c r="H957" s="443"/>
    </row>
    <row r="958">
      <c r="H958" s="443"/>
    </row>
    <row r="959">
      <c r="H959" s="443"/>
    </row>
    <row r="960">
      <c r="H960" s="443"/>
    </row>
    <row r="961">
      <c r="H961" s="443"/>
    </row>
    <row r="962">
      <c r="H962" s="443"/>
    </row>
    <row r="963">
      <c r="H963" s="443"/>
    </row>
    <row r="964">
      <c r="H964" s="443"/>
    </row>
    <row r="965">
      <c r="H965" s="443"/>
    </row>
    <row r="966">
      <c r="H966" s="443"/>
    </row>
  </sheetData>
  <conditionalFormatting sqref="E2:E26">
    <cfRule type="colorScale" priority="1">
      <colorScale>
        <cfvo type="min"/>
        <cfvo type="percentile" val="80"/>
        <cfvo type="max"/>
        <color rgb="FF57BB8A"/>
        <color rgb="FFFFD666"/>
        <color rgb="FFE67C73"/>
      </colorScale>
    </cfRule>
  </conditionalFormatting>
  <conditionalFormatting sqref="F2:F26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:id="rId1" ref="H2"/>
    <hyperlink r:id="rId2" ref="H3"/>
    <hyperlink r:id="rId3" ref="H4"/>
    <hyperlink r:id="rId4" ref="I4"/>
    <hyperlink r:id="rId5" ref="H5"/>
    <hyperlink r:id="rId6" ref="H6"/>
    <hyperlink r:id="rId7" ref="H7"/>
    <hyperlink r:id="rId8" ref="H8"/>
    <hyperlink r:id="rId9" ref="G9"/>
    <hyperlink r:id="rId10" ref="H9"/>
    <hyperlink r:id="rId11" ref="H10"/>
    <hyperlink r:id="rId12" ref="H11"/>
    <hyperlink r:id="rId13" ref="H12"/>
    <hyperlink r:id="rId14" ref="H13"/>
    <hyperlink r:id="rId15" ref="I13"/>
    <hyperlink r:id="rId16" ref="H14"/>
    <hyperlink r:id="rId17" ref="I14"/>
    <hyperlink r:id="rId18" ref="H15"/>
    <hyperlink r:id="rId19" ref="H16"/>
    <hyperlink r:id="rId20" ref="H17"/>
    <hyperlink r:id="rId21" ref="H18"/>
    <hyperlink r:id="rId22" ref="I18"/>
    <hyperlink r:id="rId23" ref="H19"/>
    <hyperlink r:id="rId24" ref="I19"/>
    <hyperlink r:id="rId25" ref="H20"/>
    <hyperlink r:id="rId26" ref="H21"/>
    <hyperlink r:id="rId27" ref="H22"/>
    <hyperlink r:id="rId28" ref="H23"/>
    <hyperlink r:id="rId29" ref="H24"/>
    <hyperlink r:id="rId30" ref="G25"/>
    <hyperlink r:id="rId31" ref="H25"/>
    <hyperlink r:id="rId32" ref="I25"/>
    <hyperlink r:id="rId33" ref="G26"/>
    <hyperlink r:id="rId34" ref="H26"/>
  </hyperlinks>
  <drawing r:id="rId3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5.33"/>
    <col customWidth="1" min="2" max="2" width="5.22"/>
    <col customWidth="1" min="3" max="3" width="13.22"/>
    <col customWidth="1" min="4" max="4" width="50.22"/>
    <col customWidth="1" min="5" max="5" width="10.56"/>
    <col customWidth="1" min="7" max="7" width="33.44"/>
    <col customWidth="1" min="8" max="8" width="29.11"/>
    <col customWidth="1" min="9" max="9" width="37.89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7" t="s">
        <v>1054</v>
      </c>
      <c r="H1" s="467" t="s">
        <v>1257</v>
      </c>
      <c r="I1" s="422" t="s">
        <v>1057</v>
      </c>
    </row>
    <row r="2">
      <c r="A2" s="38">
        <v>46369.0</v>
      </c>
      <c r="B2" s="274" t="s">
        <v>1287</v>
      </c>
      <c r="C2" s="363" t="s">
        <v>638</v>
      </c>
      <c r="D2" s="326" t="s">
        <v>1288</v>
      </c>
      <c r="E2" s="406"/>
      <c r="F2" s="406"/>
      <c r="G2" s="274"/>
      <c r="H2" s="432" t="s">
        <v>1289</v>
      </c>
      <c r="I2" s="110"/>
    </row>
    <row r="3">
      <c r="A3" s="38">
        <v>46370.0</v>
      </c>
      <c r="B3" s="274" t="s">
        <v>1293</v>
      </c>
      <c r="C3" s="363" t="s">
        <v>638</v>
      </c>
      <c r="D3" s="326" t="s">
        <v>1295</v>
      </c>
      <c r="E3" s="406"/>
      <c r="F3" s="406"/>
      <c r="G3" s="274"/>
      <c r="H3" s="432" t="s">
        <v>1296</v>
      </c>
      <c r="I3" s="110"/>
    </row>
    <row r="4">
      <c r="A4" s="38">
        <v>46371.0</v>
      </c>
      <c r="B4" s="274" t="s">
        <v>1299</v>
      </c>
      <c r="C4" s="274" t="s">
        <v>638</v>
      </c>
      <c r="D4" s="326" t="s">
        <v>1300</v>
      </c>
      <c r="E4" s="406"/>
      <c r="F4" s="406"/>
      <c r="G4" s="274"/>
      <c r="H4" s="432" t="s">
        <v>1302</v>
      </c>
      <c r="I4" s="110"/>
    </row>
    <row r="5">
      <c r="A5" s="38">
        <v>46372.0</v>
      </c>
      <c r="B5" s="274" t="s">
        <v>1304</v>
      </c>
      <c r="C5" s="363" t="s">
        <v>1305</v>
      </c>
      <c r="D5" s="326" t="s">
        <v>1306</v>
      </c>
      <c r="E5" s="274" t="s">
        <v>1307</v>
      </c>
      <c r="F5" s="326" t="s">
        <v>1308</v>
      </c>
      <c r="G5" s="326"/>
      <c r="H5" s="432" t="s">
        <v>1309</v>
      </c>
      <c r="I5" s="386" t="s">
        <v>1312</v>
      </c>
    </row>
    <row r="6">
      <c r="A6" s="38">
        <v>46373.0</v>
      </c>
      <c r="B6" s="274" t="s">
        <v>1313</v>
      </c>
      <c r="C6" s="274" t="s">
        <v>1314</v>
      </c>
      <c r="D6" s="326" t="s">
        <v>1315</v>
      </c>
      <c r="E6" s="274" t="s">
        <v>1316</v>
      </c>
      <c r="F6" s="326" t="s">
        <v>1318</v>
      </c>
      <c r="G6" s="326" t="s">
        <v>1319</v>
      </c>
      <c r="H6" s="432" t="s">
        <v>1320</v>
      </c>
      <c r="I6" s="386" t="s">
        <v>1324</v>
      </c>
    </row>
    <row r="7">
      <c r="A7" s="38">
        <v>46374.0</v>
      </c>
      <c r="B7" s="274" t="s">
        <v>1326</v>
      </c>
      <c r="C7" s="468" t="s">
        <v>1327</v>
      </c>
      <c r="D7" s="326" t="s">
        <v>1328</v>
      </c>
      <c r="E7" s="326" t="s">
        <v>1329</v>
      </c>
      <c r="F7" s="326" t="s">
        <v>1330</v>
      </c>
      <c r="G7" s="469" t="s">
        <v>1331</v>
      </c>
      <c r="H7" s="432" t="s">
        <v>1332</v>
      </c>
      <c r="I7" s="110"/>
    </row>
    <row r="8">
      <c r="A8" s="38">
        <v>46375.0</v>
      </c>
      <c r="B8" s="274" t="s">
        <v>1336</v>
      </c>
      <c r="C8" s="363" t="s">
        <v>802</v>
      </c>
      <c r="D8" s="326" t="s">
        <v>1338</v>
      </c>
      <c r="E8" s="274" t="s">
        <v>1339</v>
      </c>
      <c r="F8" s="326" t="s">
        <v>1340</v>
      </c>
      <c r="G8" s="274"/>
      <c r="H8" s="432" t="s">
        <v>1341</v>
      </c>
      <c r="I8" s="386" t="s">
        <v>1344</v>
      </c>
    </row>
    <row r="9">
      <c r="A9" s="38">
        <v>46376.0</v>
      </c>
      <c r="B9" s="274" t="s">
        <v>1345</v>
      </c>
      <c r="C9" s="274" t="s">
        <v>802</v>
      </c>
      <c r="D9" s="326" t="s">
        <v>1346</v>
      </c>
      <c r="E9" s="326" t="s">
        <v>1347</v>
      </c>
      <c r="F9" s="326" t="s">
        <v>1348</v>
      </c>
      <c r="G9" s="326" t="s">
        <v>1349</v>
      </c>
      <c r="H9" s="432" t="s">
        <v>1351</v>
      </c>
      <c r="I9" s="386" t="s">
        <v>1354</v>
      </c>
    </row>
    <row r="10">
      <c r="A10" s="38">
        <v>46377.0</v>
      </c>
      <c r="B10" s="274" t="s">
        <v>1355</v>
      </c>
      <c r="C10" s="363" t="s">
        <v>805</v>
      </c>
      <c r="D10" s="326" t="s">
        <v>1356</v>
      </c>
      <c r="E10" s="274" t="s">
        <v>1357</v>
      </c>
      <c r="F10" s="326" t="s">
        <v>1358</v>
      </c>
      <c r="G10" s="274"/>
      <c r="H10" s="432" t="s">
        <v>1359</v>
      </c>
      <c r="I10" s="110"/>
    </row>
    <row r="11">
      <c r="A11" s="38">
        <v>46378.0</v>
      </c>
      <c r="B11" s="274" t="s">
        <v>1362</v>
      </c>
      <c r="C11" s="274" t="s">
        <v>805</v>
      </c>
      <c r="D11" s="326" t="s">
        <v>1363</v>
      </c>
      <c r="E11" s="402"/>
      <c r="F11" s="402"/>
      <c r="G11" s="471" t="s">
        <v>1364</v>
      </c>
      <c r="H11" s="432" t="s">
        <v>1365</v>
      </c>
      <c r="I11" s="386" t="s">
        <v>1368</v>
      </c>
    </row>
    <row r="12">
      <c r="A12" s="38">
        <v>46379.0</v>
      </c>
      <c r="B12" s="274" t="s">
        <v>1371</v>
      </c>
      <c r="C12" s="363" t="s">
        <v>826</v>
      </c>
      <c r="D12" s="326" t="s">
        <v>1372</v>
      </c>
      <c r="E12" s="274" t="s">
        <v>1373</v>
      </c>
      <c r="F12" s="326" t="s">
        <v>1318</v>
      </c>
      <c r="G12" s="469" t="s">
        <v>1374</v>
      </c>
      <c r="H12" s="432" t="s">
        <v>1375</v>
      </c>
      <c r="I12" s="110"/>
    </row>
    <row r="13">
      <c r="A13" s="38">
        <v>46380.0</v>
      </c>
      <c r="B13" s="274" t="s">
        <v>1378</v>
      </c>
      <c r="C13" s="274" t="s">
        <v>826</v>
      </c>
      <c r="D13" s="326" t="s">
        <v>1379</v>
      </c>
      <c r="E13" s="406"/>
      <c r="F13" s="406"/>
      <c r="G13" s="274"/>
      <c r="H13" s="432" t="s">
        <v>1380</v>
      </c>
      <c r="I13" s="386" t="s">
        <v>1383</v>
      </c>
    </row>
    <row r="14">
      <c r="A14" s="38">
        <v>46381.0</v>
      </c>
      <c r="B14" s="274" t="s">
        <v>1384</v>
      </c>
      <c r="C14" s="363" t="s">
        <v>855</v>
      </c>
      <c r="D14" s="326" t="s">
        <v>1385</v>
      </c>
      <c r="E14" s="274" t="s">
        <v>1387</v>
      </c>
      <c r="F14" s="326" t="s">
        <v>1330</v>
      </c>
      <c r="G14" s="274"/>
      <c r="H14" s="432" t="s">
        <v>1388</v>
      </c>
      <c r="I14" s="386" t="s">
        <v>1391</v>
      </c>
    </row>
    <row r="15">
      <c r="A15" s="38">
        <v>46382.0</v>
      </c>
      <c r="B15" s="274" t="s">
        <v>1393</v>
      </c>
      <c r="C15" s="274" t="s">
        <v>855</v>
      </c>
      <c r="D15" s="326" t="s">
        <v>1394</v>
      </c>
      <c r="E15" s="406"/>
      <c r="F15" s="406"/>
      <c r="G15" s="274"/>
      <c r="H15" s="432" t="s">
        <v>1395</v>
      </c>
      <c r="I15" s="386" t="s">
        <v>1396</v>
      </c>
    </row>
    <row r="16">
      <c r="A16" s="38">
        <v>46383.0</v>
      </c>
      <c r="B16" s="274" t="s">
        <v>1397</v>
      </c>
      <c r="C16" s="363" t="s">
        <v>1398</v>
      </c>
      <c r="D16" s="326" t="s">
        <v>1399</v>
      </c>
      <c r="E16" s="274" t="s">
        <v>1307</v>
      </c>
      <c r="F16" s="326" t="s">
        <v>1400</v>
      </c>
      <c r="G16" s="462" t="s">
        <v>1401</v>
      </c>
      <c r="H16" s="432" t="s">
        <v>1402</v>
      </c>
      <c r="I16" s="386" t="s">
        <v>1403</v>
      </c>
    </row>
    <row r="17">
      <c r="A17" s="38">
        <v>46384.0</v>
      </c>
      <c r="B17" s="274" t="s">
        <v>1404</v>
      </c>
      <c r="C17" s="363" t="s">
        <v>868</v>
      </c>
      <c r="D17" s="326" t="s">
        <v>1405</v>
      </c>
      <c r="E17" s="326" t="s">
        <v>1406</v>
      </c>
      <c r="F17" s="326" t="s">
        <v>1330</v>
      </c>
      <c r="G17" s="274"/>
      <c r="H17" s="432" t="s">
        <v>1407</v>
      </c>
      <c r="I17" s="386" t="s">
        <v>1408</v>
      </c>
    </row>
    <row r="18">
      <c r="A18" s="38">
        <v>46385.0</v>
      </c>
      <c r="B18" s="274" t="s">
        <v>1409</v>
      </c>
      <c r="C18" s="274" t="s">
        <v>868</v>
      </c>
      <c r="D18" s="326" t="s">
        <v>1410</v>
      </c>
      <c r="E18" s="406"/>
      <c r="F18" s="406"/>
      <c r="G18" s="274"/>
      <c r="H18" s="432" t="s">
        <v>1411</v>
      </c>
      <c r="I18" s="386" t="s">
        <v>1412</v>
      </c>
    </row>
    <row r="19">
      <c r="A19" s="38">
        <v>46386.0</v>
      </c>
      <c r="B19" s="274" t="s">
        <v>1413</v>
      </c>
      <c r="C19" s="363" t="s">
        <v>868</v>
      </c>
      <c r="D19" s="326" t="s">
        <v>1414</v>
      </c>
      <c r="E19" s="406"/>
      <c r="F19" s="406"/>
      <c r="G19" s="274"/>
      <c r="H19" s="432" t="s">
        <v>1415</v>
      </c>
      <c r="I19" s="110"/>
    </row>
    <row r="20">
      <c r="A20" s="38">
        <v>46387.0</v>
      </c>
      <c r="B20" s="274" t="s">
        <v>1416</v>
      </c>
      <c r="C20" s="326" t="s">
        <v>1417</v>
      </c>
      <c r="D20" s="326" t="s">
        <v>1418</v>
      </c>
      <c r="E20" s="326" t="s">
        <v>1419</v>
      </c>
      <c r="F20" s="326" t="s">
        <v>1067</v>
      </c>
      <c r="G20" s="472"/>
      <c r="H20" s="432" t="s">
        <v>1420</v>
      </c>
      <c r="I20" s="110"/>
    </row>
    <row r="21">
      <c r="A21" s="38">
        <v>46388.0</v>
      </c>
      <c r="B21" s="274" t="s">
        <v>1421</v>
      </c>
      <c r="C21" s="326" t="s">
        <v>1417</v>
      </c>
      <c r="D21" s="473" t="s">
        <v>1422</v>
      </c>
      <c r="E21" s="406"/>
      <c r="F21" s="406"/>
      <c r="G21" s="474" t="s">
        <v>1423</v>
      </c>
      <c r="H21" s="432" t="s">
        <v>1424</v>
      </c>
      <c r="I21" s="110"/>
    </row>
    <row r="22">
      <c r="A22" s="38">
        <v>46389.0</v>
      </c>
      <c r="B22" s="274" t="s">
        <v>1425</v>
      </c>
      <c r="C22" s="326"/>
      <c r="D22" s="326" t="s">
        <v>1426</v>
      </c>
      <c r="E22" s="326" t="s">
        <v>1427</v>
      </c>
      <c r="F22" s="326" t="s">
        <v>1428</v>
      </c>
      <c r="G22" s="471"/>
      <c r="H22" s="432" t="s">
        <v>1429</v>
      </c>
      <c r="I22" s="386" t="s">
        <v>1430</v>
      </c>
    </row>
    <row r="23">
      <c r="A23" s="38">
        <v>46390.0</v>
      </c>
      <c r="B23" s="274" t="s">
        <v>1431</v>
      </c>
      <c r="C23" s="326" t="s">
        <v>894</v>
      </c>
      <c r="D23" s="469" t="s">
        <v>1432</v>
      </c>
      <c r="E23" s="326"/>
      <c r="F23" s="326"/>
      <c r="G23" s="471"/>
      <c r="H23" s="432" t="s">
        <v>1433</v>
      </c>
      <c r="I23" s="110"/>
    </row>
    <row r="24">
      <c r="A24" s="38">
        <v>46391.0</v>
      </c>
      <c r="B24" s="274" t="s">
        <v>1434</v>
      </c>
      <c r="C24" s="363" t="s">
        <v>894</v>
      </c>
      <c r="D24" s="326" t="s">
        <v>1435</v>
      </c>
      <c r="E24" s="406"/>
      <c r="F24" s="406"/>
      <c r="G24" s="274"/>
      <c r="H24" s="432" t="s">
        <v>1436</v>
      </c>
      <c r="I24" s="110"/>
    </row>
    <row r="25">
      <c r="A25" s="38">
        <v>46392.0</v>
      </c>
      <c r="B25" s="274" t="s">
        <v>1437</v>
      </c>
      <c r="C25" s="326" t="s">
        <v>1438</v>
      </c>
      <c r="D25" s="469" t="s">
        <v>1439</v>
      </c>
      <c r="E25" s="406"/>
      <c r="F25" s="406"/>
      <c r="G25" s="472"/>
      <c r="H25" s="432" t="s">
        <v>1440</v>
      </c>
      <c r="I25" s="110"/>
    </row>
    <row r="26">
      <c r="A26" s="38">
        <v>46393.0</v>
      </c>
      <c r="B26" s="274"/>
      <c r="C26" s="326" t="s">
        <v>1438</v>
      </c>
      <c r="D26" s="326" t="s">
        <v>1441</v>
      </c>
      <c r="E26" s="364"/>
      <c r="F26" s="364"/>
      <c r="G26" s="472"/>
      <c r="H26" s="432" t="s">
        <v>1442</v>
      </c>
      <c r="I26" s="386" t="s">
        <v>1443</v>
      </c>
    </row>
    <row r="27">
      <c r="A27" s="38">
        <v>46394.0</v>
      </c>
      <c r="B27" s="274" t="s">
        <v>1444</v>
      </c>
      <c r="C27" s="326" t="s">
        <v>1445</v>
      </c>
      <c r="D27" s="469" t="s">
        <v>1446</v>
      </c>
      <c r="E27" s="326" t="s">
        <v>1447</v>
      </c>
      <c r="F27" s="326" t="s">
        <v>1308</v>
      </c>
      <c r="G27" s="472"/>
      <c r="H27" s="432" t="s">
        <v>1448</v>
      </c>
      <c r="I27" s="110"/>
    </row>
    <row r="28">
      <c r="A28" s="38">
        <v>46395.0</v>
      </c>
      <c r="B28" s="274" t="s">
        <v>1449</v>
      </c>
      <c r="C28" s="274" t="s">
        <v>969</v>
      </c>
      <c r="D28" s="469" t="s">
        <v>1450</v>
      </c>
      <c r="E28" s="406"/>
      <c r="F28" s="406"/>
      <c r="G28" s="274"/>
      <c r="H28" s="432" t="s">
        <v>1451</v>
      </c>
      <c r="I28" s="110"/>
    </row>
    <row r="29">
      <c r="A29" s="38">
        <v>46396.0</v>
      </c>
      <c r="B29" s="274" t="s">
        <v>1452</v>
      </c>
      <c r="C29" s="274" t="s">
        <v>969</v>
      </c>
      <c r="D29" s="469" t="s">
        <v>1453</v>
      </c>
      <c r="E29" s="326" t="s">
        <v>1447</v>
      </c>
      <c r="F29" s="326" t="s">
        <v>1400</v>
      </c>
      <c r="G29" s="274"/>
      <c r="H29" s="432" t="s">
        <v>1454</v>
      </c>
      <c r="I29" s="110"/>
    </row>
    <row r="30">
      <c r="A30" s="38">
        <v>46397.0</v>
      </c>
      <c r="B30" s="274" t="s">
        <v>1455</v>
      </c>
      <c r="C30" s="363" t="s">
        <v>1456</v>
      </c>
      <c r="D30" s="469" t="s">
        <v>1457</v>
      </c>
      <c r="E30" s="406"/>
      <c r="F30" s="406"/>
      <c r="G30" s="274"/>
      <c r="H30" s="432" t="s">
        <v>1458</v>
      </c>
      <c r="I30" s="386" t="s">
        <v>1459</v>
      </c>
    </row>
    <row r="31">
      <c r="A31" s="38">
        <v>46398.0</v>
      </c>
      <c r="B31" s="274" t="s">
        <v>1460</v>
      </c>
      <c r="C31" s="274" t="s">
        <v>969</v>
      </c>
      <c r="D31" s="469" t="s">
        <v>1461</v>
      </c>
      <c r="E31" s="326" t="s">
        <v>1462</v>
      </c>
      <c r="F31" s="326" t="s">
        <v>1067</v>
      </c>
      <c r="G31" s="274"/>
      <c r="H31" s="432" t="s">
        <v>1463</v>
      </c>
      <c r="I31" s="110"/>
    </row>
    <row r="32">
      <c r="A32" s="38">
        <v>46399.0</v>
      </c>
      <c r="B32" s="274" t="s">
        <v>1464</v>
      </c>
      <c r="C32" s="363" t="s">
        <v>1039</v>
      </c>
      <c r="D32" s="326" t="s">
        <v>1465</v>
      </c>
      <c r="E32" s="406"/>
      <c r="F32" s="406"/>
      <c r="G32" s="274"/>
      <c r="H32" s="432" t="s">
        <v>1466</v>
      </c>
      <c r="I32" s="110"/>
    </row>
    <row r="33">
      <c r="A33" s="38">
        <v>46400.0</v>
      </c>
      <c r="B33" s="274" t="s">
        <v>1467</v>
      </c>
      <c r="C33" s="274" t="s">
        <v>1039</v>
      </c>
      <c r="D33" s="326" t="s">
        <v>1468</v>
      </c>
      <c r="E33" s="326" t="s">
        <v>1462</v>
      </c>
      <c r="F33" s="326" t="s">
        <v>1067</v>
      </c>
      <c r="G33" s="326"/>
      <c r="H33" s="432" t="s">
        <v>1469</v>
      </c>
      <c r="I33" s="110"/>
    </row>
    <row r="34">
      <c r="A34" s="38">
        <v>46401.0</v>
      </c>
      <c r="B34" s="274" t="s">
        <v>1470</v>
      </c>
      <c r="C34" s="363" t="s">
        <v>1046</v>
      </c>
      <c r="D34" s="326" t="s">
        <v>1471</v>
      </c>
      <c r="E34" s="326" t="s">
        <v>1472</v>
      </c>
      <c r="F34" s="326" t="s">
        <v>1067</v>
      </c>
      <c r="G34" s="462" t="s">
        <v>1473</v>
      </c>
      <c r="H34" s="432" t="s">
        <v>1474</v>
      </c>
      <c r="I34" s="110"/>
    </row>
    <row r="35">
      <c r="A35" s="38">
        <v>46402.0</v>
      </c>
      <c r="B35" s="274" t="s">
        <v>1475</v>
      </c>
      <c r="C35" s="363" t="s">
        <v>1046</v>
      </c>
      <c r="D35" s="326" t="s">
        <v>1476</v>
      </c>
      <c r="E35" s="274" t="s">
        <v>1477</v>
      </c>
      <c r="F35" s="326" t="s">
        <v>1478</v>
      </c>
      <c r="G35" s="462" t="s">
        <v>1479</v>
      </c>
      <c r="H35" s="432" t="s">
        <v>1480</v>
      </c>
      <c r="I35" s="386" t="s">
        <v>1481</v>
      </c>
    </row>
    <row r="36">
      <c r="A36" s="38">
        <v>46403.0</v>
      </c>
      <c r="B36" s="274" t="s">
        <v>1482</v>
      </c>
      <c r="C36" s="274" t="s">
        <v>1046</v>
      </c>
      <c r="D36" s="326" t="s">
        <v>1483</v>
      </c>
      <c r="E36" s="406"/>
      <c r="F36" s="406"/>
      <c r="G36" s="274"/>
      <c r="H36" s="432" t="s">
        <v>1484</v>
      </c>
      <c r="I36" s="110"/>
    </row>
    <row r="37">
      <c r="A37" s="38">
        <v>46404.0</v>
      </c>
      <c r="B37" s="274" t="s">
        <v>1485</v>
      </c>
      <c r="C37" s="274" t="s">
        <v>1046</v>
      </c>
      <c r="D37" s="326" t="s">
        <v>1486</v>
      </c>
      <c r="E37" s="402"/>
      <c r="F37" s="402"/>
      <c r="G37" s="274"/>
      <c r="H37" s="432" t="s">
        <v>1487</v>
      </c>
      <c r="I37" s="110"/>
    </row>
    <row r="38">
      <c r="A38" s="38">
        <v>46405.0</v>
      </c>
      <c r="B38" s="274" t="s">
        <v>1488</v>
      </c>
      <c r="C38" s="274" t="s">
        <v>1046</v>
      </c>
      <c r="D38" s="475" t="s">
        <v>1489</v>
      </c>
      <c r="E38" s="402"/>
      <c r="F38" s="402"/>
      <c r="G38" s="274"/>
      <c r="H38" s="432" t="s">
        <v>1490</v>
      </c>
      <c r="I38" s="110"/>
    </row>
    <row r="39">
      <c r="A39" s="38">
        <v>46406.0</v>
      </c>
      <c r="B39" s="274" t="s">
        <v>1491</v>
      </c>
      <c r="C39" s="363" t="s">
        <v>643</v>
      </c>
      <c r="D39" s="326" t="s">
        <v>1492</v>
      </c>
      <c r="E39" s="326" t="s">
        <v>1493</v>
      </c>
      <c r="F39" s="326" t="s">
        <v>1358</v>
      </c>
      <c r="G39" s="274"/>
      <c r="H39" s="432" t="s">
        <v>1494</v>
      </c>
      <c r="I39" s="110"/>
    </row>
    <row r="40">
      <c r="A40" s="38">
        <v>46407.0</v>
      </c>
      <c r="B40" s="274" t="s">
        <v>1495</v>
      </c>
      <c r="C40" s="363" t="s">
        <v>643</v>
      </c>
      <c r="D40" s="326" t="s">
        <v>1496</v>
      </c>
      <c r="E40" s="406"/>
      <c r="F40" s="406"/>
      <c r="G40" s="274"/>
      <c r="H40" s="432" t="s">
        <v>1497</v>
      </c>
      <c r="I40" s="110"/>
    </row>
    <row r="41">
      <c r="A41" s="38">
        <v>46408.0</v>
      </c>
      <c r="B41" s="274" t="s">
        <v>1501</v>
      </c>
      <c r="C41" s="363" t="s">
        <v>643</v>
      </c>
      <c r="D41" s="477" t="s">
        <v>1058</v>
      </c>
      <c r="E41" s="274"/>
      <c r="F41" s="274"/>
      <c r="G41" s="274"/>
      <c r="H41" s="432" t="s">
        <v>1502</v>
      </c>
      <c r="I41" s="110"/>
    </row>
    <row r="42">
      <c r="C42" s="478"/>
      <c r="D42" s="326"/>
      <c r="H42" s="443"/>
    </row>
    <row r="43">
      <c r="C43" s="479"/>
      <c r="D43" s="480"/>
      <c r="H43" s="443"/>
    </row>
    <row r="44">
      <c r="C44" s="478"/>
      <c r="H44" s="443"/>
    </row>
    <row r="45">
      <c r="C45" s="479"/>
      <c r="H45" s="443"/>
    </row>
    <row r="46">
      <c r="C46" s="478"/>
      <c r="H46" s="443"/>
    </row>
    <row r="47">
      <c r="C47" s="479"/>
      <c r="D47" s="468"/>
      <c r="H47" s="443"/>
    </row>
    <row r="48">
      <c r="C48" s="478"/>
      <c r="D48" s="468"/>
      <c r="H48" s="443"/>
    </row>
    <row r="49">
      <c r="C49" s="481"/>
      <c r="D49" s="468"/>
      <c r="H49" s="443"/>
    </row>
    <row r="50">
      <c r="C50" s="479"/>
      <c r="D50" s="468"/>
      <c r="H50" s="443"/>
    </row>
    <row r="51">
      <c r="C51" s="478"/>
      <c r="D51" s="468"/>
      <c r="H51" s="443"/>
    </row>
    <row r="52">
      <c r="C52" s="479"/>
      <c r="D52" s="468"/>
      <c r="H52" s="443"/>
    </row>
    <row r="53">
      <c r="C53" s="478"/>
      <c r="D53" s="468"/>
      <c r="H53" s="443"/>
    </row>
    <row r="54">
      <c r="C54" s="479"/>
      <c r="D54" s="468"/>
      <c r="H54" s="443"/>
    </row>
    <row r="55">
      <c r="C55" s="478"/>
      <c r="D55" s="468"/>
      <c r="H55" s="443"/>
    </row>
    <row r="56">
      <c r="C56" s="479"/>
      <c r="D56" s="468"/>
      <c r="H56" s="443"/>
    </row>
    <row r="57">
      <c r="C57" s="478"/>
      <c r="D57" s="468"/>
      <c r="H57" s="443"/>
    </row>
    <row r="58">
      <c r="C58" s="479"/>
      <c r="D58" s="468"/>
      <c r="H58" s="443"/>
    </row>
    <row r="59">
      <c r="C59" s="478"/>
      <c r="D59" s="468"/>
      <c r="H59" s="443"/>
    </row>
    <row r="60">
      <c r="C60" s="481"/>
      <c r="D60" s="468"/>
      <c r="H60" s="443"/>
    </row>
    <row r="61">
      <c r="C61" s="479"/>
      <c r="D61" s="468"/>
      <c r="H61" s="443"/>
    </row>
    <row r="62">
      <c r="C62" s="478"/>
      <c r="D62" s="468"/>
      <c r="H62" s="443"/>
    </row>
    <row r="63">
      <c r="C63" s="479"/>
      <c r="D63" s="468"/>
      <c r="H63" s="443"/>
    </row>
    <row r="64">
      <c r="C64" s="478"/>
      <c r="D64" s="468"/>
      <c r="H64" s="443"/>
    </row>
    <row r="65">
      <c r="C65" s="479"/>
      <c r="D65" s="468"/>
      <c r="H65" s="443"/>
    </row>
    <row r="66">
      <c r="C66" s="478"/>
      <c r="D66" s="468"/>
      <c r="H66" s="443"/>
    </row>
    <row r="67">
      <c r="C67" s="479"/>
      <c r="D67" s="468"/>
      <c r="H67" s="443"/>
    </row>
    <row r="68">
      <c r="C68" s="478"/>
      <c r="D68" s="468"/>
      <c r="H68" s="443"/>
    </row>
    <row r="69">
      <c r="D69" s="468"/>
      <c r="H69" s="443"/>
    </row>
    <row r="70">
      <c r="D70" s="468"/>
      <c r="H70" s="443"/>
    </row>
    <row r="71">
      <c r="D71" s="468"/>
      <c r="H71" s="443"/>
    </row>
    <row r="72">
      <c r="D72" s="468"/>
      <c r="H72" s="443"/>
    </row>
    <row r="73">
      <c r="D73" s="468"/>
      <c r="H73" s="443"/>
    </row>
    <row r="74">
      <c r="D74" s="468"/>
      <c r="H74" s="443"/>
    </row>
    <row r="75">
      <c r="D75" s="468"/>
      <c r="H75" s="443"/>
    </row>
    <row r="76">
      <c r="D76" s="468"/>
      <c r="H76" s="443"/>
    </row>
    <row r="77">
      <c r="D77" s="468"/>
      <c r="H77" s="443"/>
    </row>
    <row r="78">
      <c r="D78" s="468"/>
      <c r="H78" s="443"/>
    </row>
    <row r="79">
      <c r="D79" s="468"/>
      <c r="H79" s="443"/>
    </row>
    <row r="80">
      <c r="D80" s="468"/>
      <c r="H80" s="443"/>
    </row>
    <row r="81">
      <c r="D81" s="468"/>
      <c r="H81" s="443"/>
    </row>
    <row r="82">
      <c r="D82" s="468"/>
      <c r="H82" s="443"/>
    </row>
    <row r="83">
      <c r="H83" s="443"/>
    </row>
    <row r="84">
      <c r="H84" s="443"/>
    </row>
    <row r="85">
      <c r="H85" s="443"/>
    </row>
    <row r="86">
      <c r="H86" s="443"/>
    </row>
    <row r="87">
      <c r="H87" s="443"/>
    </row>
    <row r="88">
      <c r="H88" s="443"/>
    </row>
    <row r="89">
      <c r="H89" s="443"/>
    </row>
    <row r="90">
      <c r="H90" s="443"/>
    </row>
    <row r="91">
      <c r="H91" s="443"/>
    </row>
    <row r="92">
      <c r="H92" s="443"/>
    </row>
    <row r="93">
      <c r="H93" s="443"/>
    </row>
    <row r="94">
      <c r="H94" s="443"/>
    </row>
    <row r="95">
      <c r="H95" s="443"/>
    </row>
    <row r="96">
      <c r="H96" s="443"/>
    </row>
    <row r="97">
      <c r="H97" s="443"/>
    </row>
    <row r="98">
      <c r="H98" s="443"/>
    </row>
    <row r="99">
      <c r="H99" s="443"/>
    </row>
    <row r="100">
      <c r="H100" s="443"/>
    </row>
    <row r="101">
      <c r="H101" s="443"/>
    </row>
    <row r="102">
      <c r="H102" s="443"/>
    </row>
    <row r="103">
      <c r="H103" s="443"/>
    </row>
    <row r="104">
      <c r="H104" s="443"/>
    </row>
    <row r="105">
      <c r="H105" s="443"/>
    </row>
    <row r="106">
      <c r="H106" s="443"/>
    </row>
    <row r="107">
      <c r="H107" s="443"/>
    </row>
    <row r="108">
      <c r="H108" s="443"/>
    </row>
    <row r="109">
      <c r="H109" s="443"/>
    </row>
    <row r="110">
      <c r="H110" s="443"/>
    </row>
    <row r="111">
      <c r="H111" s="443"/>
    </row>
    <row r="112">
      <c r="H112" s="443"/>
    </row>
    <row r="113">
      <c r="H113" s="443"/>
    </row>
    <row r="114">
      <c r="H114" s="443"/>
    </row>
    <row r="115">
      <c r="H115" s="443"/>
    </row>
    <row r="116">
      <c r="H116" s="443"/>
    </row>
    <row r="117">
      <c r="H117" s="443"/>
    </row>
    <row r="118">
      <c r="H118" s="443"/>
    </row>
    <row r="119">
      <c r="H119" s="443"/>
    </row>
    <row r="120">
      <c r="H120" s="443"/>
    </row>
    <row r="121">
      <c r="H121" s="443"/>
    </row>
    <row r="122">
      <c r="H122" s="443"/>
    </row>
    <row r="123">
      <c r="H123" s="443"/>
    </row>
    <row r="124">
      <c r="H124" s="443"/>
    </row>
    <row r="125">
      <c r="H125" s="443"/>
    </row>
    <row r="126">
      <c r="H126" s="443"/>
    </row>
    <row r="127">
      <c r="H127" s="443"/>
    </row>
    <row r="128">
      <c r="H128" s="443"/>
    </row>
    <row r="129">
      <c r="H129" s="443"/>
    </row>
    <row r="130">
      <c r="H130" s="443"/>
    </row>
    <row r="131">
      <c r="H131" s="443"/>
    </row>
    <row r="132">
      <c r="H132" s="443"/>
    </row>
    <row r="133">
      <c r="H133" s="443"/>
    </row>
    <row r="134">
      <c r="H134" s="443"/>
    </row>
    <row r="135">
      <c r="H135" s="443"/>
    </row>
    <row r="136">
      <c r="H136" s="443"/>
    </row>
    <row r="137">
      <c r="H137" s="443"/>
    </row>
    <row r="138">
      <c r="H138" s="443"/>
    </row>
    <row r="139">
      <c r="H139" s="443"/>
    </row>
    <row r="140">
      <c r="H140" s="443"/>
    </row>
    <row r="141">
      <c r="H141" s="443"/>
    </row>
    <row r="142">
      <c r="H142" s="443"/>
    </row>
    <row r="143">
      <c r="H143" s="443"/>
    </row>
    <row r="144">
      <c r="H144" s="443"/>
    </row>
    <row r="145">
      <c r="H145" s="443"/>
    </row>
    <row r="146">
      <c r="H146" s="443"/>
    </row>
    <row r="147">
      <c r="H147" s="443"/>
    </row>
    <row r="148">
      <c r="H148" s="443"/>
    </row>
    <row r="149">
      <c r="H149" s="443"/>
    </row>
    <row r="150">
      <c r="H150" s="443"/>
    </row>
    <row r="151">
      <c r="H151" s="443"/>
    </row>
    <row r="152">
      <c r="H152" s="443"/>
    </row>
    <row r="153">
      <c r="H153" s="443"/>
    </row>
    <row r="154">
      <c r="H154" s="443"/>
    </row>
    <row r="155">
      <c r="H155" s="443"/>
    </row>
    <row r="156">
      <c r="H156" s="443"/>
    </row>
    <row r="157">
      <c r="H157" s="443"/>
    </row>
    <row r="158">
      <c r="H158" s="443"/>
    </row>
    <row r="159">
      <c r="H159" s="443"/>
    </row>
    <row r="160">
      <c r="H160" s="443"/>
    </row>
    <row r="161">
      <c r="H161" s="443"/>
    </row>
    <row r="162">
      <c r="H162" s="443"/>
    </row>
    <row r="163">
      <c r="H163" s="443"/>
    </row>
    <row r="164">
      <c r="H164" s="443"/>
    </row>
    <row r="165">
      <c r="H165" s="443"/>
    </row>
    <row r="166">
      <c r="H166" s="443"/>
    </row>
    <row r="167">
      <c r="H167" s="443"/>
    </row>
    <row r="168">
      <c r="H168" s="443"/>
    </row>
    <row r="169">
      <c r="H169" s="443"/>
    </row>
    <row r="170">
      <c r="H170" s="443"/>
    </row>
    <row r="171">
      <c r="H171" s="443"/>
    </row>
    <row r="172">
      <c r="H172" s="443"/>
    </row>
    <row r="173">
      <c r="H173" s="443"/>
    </row>
    <row r="174">
      <c r="H174" s="443"/>
    </row>
    <row r="175">
      <c r="H175" s="443"/>
    </row>
    <row r="176">
      <c r="H176" s="443"/>
    </row>
    <row r="177">
      <c r="H177" s="443"/>
    </row>
    <row r="178">
      <c r="H178" s="443"/>
    </row>
    <row r="179">
      <c r="H179" s="443"/>
    </row>
    <row r="180">
      <c r="H180" s="443"/>
    </row>
    <row r="181">
      <c r="H181" s="443"/>
    </row>
    <row r="182">
      <c r="H182" s="443"/>
    </row>
    <row r="183">
      <c r="H183" s="443"/>
    </row>
    <row r="184">
      <c r="H184" s="443"/>
    </row>
    <row r="185">
      <c r="H185" s="443"/>
    </row>
    <row r="186">
      <c r="H186" s="443"/>
    </row>
    <row r="187">
      <c r="H187" s="443"/>
    </row>
    <row r="188">
      <c r="H188" s="443"/>
    </row>
    <row r="189">
      <c r="H189" s="443"/>
    </row>
    <row r="190">
      <c r="H190" s="443"/>
    </row>
    <row r="191">
      <c r="H191" s="443"/>
    </row>
    <row r="192">
      <c r="H192" s="443"/>
    </row>
    <row r="193">
      <c r="H193" s="443"/>
    </row>
    <row r="194">
      <c r="H194" s="443"/>
    </row>
    <row r="195">
      <c r="H195" s="443"/>
    </row>
    <row r="196">
      <c r="H196" s="443"/>
    </row>
    <row r="197">
      <c r="H197" s="443"/>
    </row>
    <row r="198">
      <c r="H198" s="443"/>
    </row>
    <row r="199">
      <c r="H199" s="443"/>
    </row>
    <row r="200">
      <c r="H200" s="443"/>
    </row>
    <row r="201">
      <c r="H201" s="443"/>
    </row>
    <row r="202">
      <c r="H202" s="443"/>
    </row>
    <row r="203">
      <c r="H203" s="443"/>
    </row>
    <row r="204">
      <c r="H204" s="443"/>
    </row>
    <row r="205">
      <c r="H205" s="443"/>
    </row>
    <row r="206">
      <c r="H206" s="443"/>
    </row>
    <row r="207">
      <c r="H207" s="443"/>
    </row>
    <row r="208">
      <c r="H208" s="443"/>
    </row>
    <row r="209">
      <c r="H209" s="443"/>
    </row>
    <row r="210">
      <c r="H210" s="443"/>
    </row>
    <row r="211">
      <c r="H211" s="443"/>
    </row>
    <row r="212">
      <c r="H212" s="443"/>
    </row>
    <row r="213">
      <c r="H213" s="443"/>
    </row>
    <row r="214">
      <c r="H214" s="443"/>
    </row>
    <row r="215">
      <c r="H215" s="443"/>
    </row>
    <row r="216">
      <c r="H216" s="443"/>
    </row>
    <row r="217">
      <c r="H217" s="443"/>
    </row>
    <row r="218">
      <c r="H218" s="443"/>
    </row>
    <row r="219">
      <c r="H219" s="443"/>
    </row>
    <row r="220">
      <c r="H220" s="443"/>
    </row>
    <row r="221">
      <c r="H221" s="443"/>
    </row>
    <row r="222">
      <c r="H222" s="443"/>
    </row>
    <row r="223">
      <c r="H223" s="443"/>
    </row>
    <row r="224">
      <c r="H224" s="443"/>
    </row>
    <row r="225">
      <c r="H225" s="443"/>
    </row>
    <row r="226">
      <c r="H226" s="443"/>
    </row>
    <row r="227">
      <c r="H227" s="443"/>
    </row>
    <row r="228">
      <c r="H228" s="443"/>
    </row>
    <row r="229">
      <c r="H229" s="443"/>
    </row>
    <row r="230">
      <c r="H230" s="443"/>
    </row>
    <row r="231">
      <c r="H231" s="443"/>
    </row>
    <row r="232">
      <c r="H232" s="443"/>
    </row>
    <row r="233">
      <c r="H233" s="443"/>
    </row>
    <row r="234">
      <c r="H234" s="443"/>
    </row>
    <row r="235">
      <c r="H235" s="443"/>
    </row>
    <row r="236">
      <c r="H236" s="443"/>
    </row>
    <row r="237">
      <c r="H237" s="443"/>
    </row>
    <row r="238">
      <c r="H238" s="443"/>
    </row>
    <row r="239">
      <c r="H239" s="443"/>
    </row>
    <row r="240">
      <c r="H240" s="443"/>
    </row>
    <row r="241">
      <c r="H241" s="443"/>
    </row>
    <row r="242">
      <c r="H242" s="443"/>
    </row>
    <row r="243">
      <c r="H243" s="443"/>
    </row>
    <row r="244">
      <c r="H244" s="443"/>
    </row>
    <row r="245">
      <c r="H245" s="443"/>
    </row>
    <row r="246">
      <c r="H246" s="443"/>
    </row>
    <row r="247">
      <c r="H247" s="443"/>
    </row>
    <row r="248">
      <c r="H248" s="443"/>
    </row>
    <row r="249">
      <c r="H249" s="443"/>
    </row>
    <row r="250">
      <c r="H250" s="443"/>
    </row>
    <row r="251">
      <c r="H251" s="443"/>
    </row>
    <row r="252">
      <c r="H252" s="443"/>
    </row>
    <row r="253">
      <c r="H253" s="443"/>
    </row>
    <row r="254">
      <c r="H254" s="443"/>
    </row>
    <row r="255">
      <c r="H255" s="443"/>
    </row>
    <row r="256">
      <c r="H256" s="443"/>
    </row>
    <row r="257">
      <c r="H257" s="443"/>
    </row>
    <row r="258">
      <c r="H258" s="443"/>
    </row>
    <row r="259">
      <c r="H259" s="443"/>
    </row>
    <row r="260">
      <c r="H260" s="443"/>
    </row>
    <row r="261">
      <c r="H261" s="443"/>
    </row>
    <row r="262">
      <c r="H262" s="443"/>
    </row>
    <row r="263">
      <c r="H263" s="443"/>
    </row>
    <row r="264">
      <c r="H264" s="443"/>
    </row>
    <row r="265">
      <c r="H265" s="443"/>
    </row>
    <row r="266">
      <c r="H266" s="443"/>
    </row>
    <row r="267">
      <c r="H267" s="443"/>
    </row>
    <row r="268">
      <c r="H268" s="443"/>
    </row>
    <row r="269">
      <c r="H269" s="443"/>
    </row>
    <row r="270">
      <c r="H270" s="443"/>
    </row>
    <row r="271">
      <c r="H271" s="443"/>
    </row>
    <row r="272">
      <c r="H272" s="443"/>
    </row>
    <row r="273">
      <c r="H273" s="443"/>
    </row>
    <row r="274">
      <c r="H274" s="443"/>
    </row>
    <row r="275">
      <c r="H275" s="443"/>
    </row>
    <row r="276">
      <c r="H276" s="443"/>
    </row>
    <row r="277">
      <c r="H277" s="443"/>
    </row>
    <row r="278">
      <c r="H278" s="443"/>
    </row>
    <row r="279">
      <c r="H279" s="443"/>
    </row>
    <row r="280">
      <c r="H280" s="443"/>
    </row>
    <row r="281">
      <c r="H281" s="443"/>
    </row>
    <row r="282">
      <c r="H282" s="443"/>
    </row>
    <row r="283">
      <c r="H283" s="443"/>
    </row>
    <row r="284">
      <c r="H284" s="443"/>
    </row>
    <row r="285">
      <c r="H285" s="443"/>
    </row>
    <row r="286">
      <c r="H286" s="443"/>
    </row>
    <row r="287">
      <c r="H287" s="443"/>
    </row>
    <row r="288">
      <c r="H288" s="443"/>
    </row>
    <row r="289">
      <c r="H289" s="443"/>
    </row>
    <row r="290">
      <c r="H290" s="443"/>
    </row>
    <row r="291">
      <c r="H291" s="443"/>
    </row>
    <row r="292">
      <c r="H292" s="443"/>
    </row>
    <row r="293">
      <c r="H293" s="443"/>
    </row>
    <row r="294">
      <c r="H294" s="443"/>
    </row>
    <row r="295">
      <c r="H295" s="443"/>
    </row>
    <row r="296">
      <c r="H296" s="443"/>
    </row>
    <row r="297">
      <c r="H297" s="443"/>
    </row>
    <row r="298">
      <c r="H298" s="443"/>
    </row>
    <row r="299">
      <c r="H299" s="443"/>
    </row>
    <row r="300">
      <c r="H300" s="443"/>
    </row>
    <row r="301">
      <c r="H301" s="443"/>
    </row>
    <row r="302">
      <c r="H302" s="443"/>
    </row>
    <row r="303">
      <c r="H303" s="443"/>
    </row>
    <row r="304">
      <c r="H304" s="443"/>
    </row>
    <row r="305">
      <c r="H305" s="443"/>
    </row>
    <row r="306">
      <c r="H306" s="443"/>
    </row>
    <row r="307">
      <c r="H307" s="443"/>
    </row>
    <row r="308">
      <c r="H308" s="443"/>
    </row>
    <row r="309">
      <c r="H309" s="443"/>
    </row>
    <row r="310">
      <c r="H310" s="443"/>
    </row>
    <row r="311">
      <c r="H311" s="443"/>
    </row>
    <row r="312">
      <c r="H312" s="443"/>
    </row>
    <row r="313">
      <c r="H313" s="443"/>
    </row>
    <row r="314">
      <c r="H314" s="443"/>
    </row>
    <row r="315">
      <c r="H315" s="443"/>
    </row>
    <row r="316">
      <c r="H316" s="443"/>
    </row>
    <row r="317">
      <c r="H317" s="443"/>
    </row>
    <row r="318">
      <c r="H318" s="443"/>
    </row>
    <row r="319">
      <c r="H319" s="443"/>
    </row>
    <row r="320">
      <c r="H320" s="443"/>
    </row>
    <row r="321">
      <c r="H321" s="443"/>
    </row>
    <row r="322">
      <c r="H322" s="443"/>
    </row>
    <row r="323">
      <c r="H323" s="443"/>
    </row>
    <row r="324">
      <c r="H324" s="443"/>
    </row>
    <row r="325">
      <c r="H325" s="443"/>
    </row>
    <row r="326">
      <c r="H326" s="443"/>
    </row>
    <row r="327">
      <c r="H327" s="443"/>
    </row>
    <row r="328">
      <c r="H328" s="443"/>
    </row>
    <row r="329">
      <c r="H329" s="443"/>
    </row>
    <row r="330">
      <c r="H330" s="443"/>
    </row>
    <row r="331">
      <c r="H331" s="443"/>
    </row>
    <row r="332">
      <c r="H332" s="443"/>
    </row>
    <row r="333">
      <c r="H333" s="443"/>
    </row>
    <row r="334">
      <c r="H334" s="443"/>
    </row>
    <row r="335">
      <c r="H335" s="443"/>
    </row>
    <row r="336">
      <c r="H336" s="443"/>
    </row>
    <row r="337">
      <c r="H337" s="443"/>
    </row>
    <row r="338">
      <c r="H338" s="443"/>
    </row>
    <row r="339">
      <c r="H339" s="443"/>
    </row>
    <row r="340">
      <c r="H340" s="443"/>
    </row>
    <row r="341">
      <c r="H341" s="443"/>
    </row>
    <row r="342">
      <c r="H342" s="443"/>
    </row>
    <row r="343">
      <c r="H343" s="443"/>
    </row>
    <row r="344">
      <c r="H344" s="443"/>
    </row>
    <row r="345">
      <c r="H345" s="443"/>
    </row>
    <row r="346">
      <c r="H346" s="443"/>
    </row>
    <row r="347">
      <c r="H347" s="443"/>
    </row>
    <row r="348">
      <c r="H348" s="443"/>
    </row>
    <row r="349">
      <c r="H349" s="443"/>
    </row>
    <row r="350">
      <c r="H350" s="443"/>
    </row>
    <row r="351">
      <c r="H351" s="443"/>
    </row>
    <row r="352">
      <c r="H352" s="443"/>
    </row>
    <row r="353">
      <c r="H353" s="443"/>
    </row>
    <row r="354">
      <c r="H354" s="443"/>
    </row>
    <row r="355">
      <c r="H355" s="443"/>
    </row>
    <row r="356">
      <c r="H356" s="443"/>
    </row>
    <row r="357">
      <c r="H357" s="443"/>
    </row>
    <row r="358">
      <c r="H358" s="443"/>
    </row>
    <row r="359">
      <c r="H359" s="443"/>
    </row>
    <row r="360">
      <c r="H360" s="443"/>
    </row>
    <row r="361">
      <c r="H361" s="443"/>
    </row>
    <row r="362">
      <c r="H362" s="443"/>
    </row>
    <row r="363">
      <c r="H363" s="443"/>
    </row>
    <row r="364">
      <c r="H364" s="443"/>
    </row>
    <row r="365">
      <c r="H365" s="443"/>
    </row>
    <row r="366">
      <c r="H366" s="443"/>
    </row>
    <row r="367">
      <c r="H367" s="443"/>
    </row>
    <row r="368">
      <c r="H368" s="443"/>
    </row>
    <row r="369">
      <c r="H369" s="443"/>
    </row>
    <row r="370">
      <c r="H370" s="443"/>
    </row>
    <row r="371">
      <c r="H371" s="443"/>
    </row>
    <row r="372">
      <c r="H372" s="443"/>
    </row>
    <row r="373">
      <c r="H373" s="443"/>
    </row>
    <row r="374">
      <c r="H374" s="443"/>
    </row>
    <row r="375">
      <c r="H375" s="443"/>
    </row>
    <row r="376">
      <c r="H376" s="443"/>
    </row>
    <row r="377">
      <c r="H377" s="443"/>
    </row>
    <row r="378">
      <c r="H378" s="443"/>
    </row>
    <row r="379">
      <c r="H379" s="443"/>
    </row>
    <row r="380">
      <c r="H380" s="443"/>
    </row>
    <row r="381">
      <c r="H381" s="443"/>
    </row>
    <row r="382">
      <c r="H382" s="443"/>
    </row>
    <row r="383">
      <c r="H383" s="443"/>
    </row>
    <row r="384">
      <c r="H384" s="443"/>
    </row>
    <row r="385">
      <c r="H385" s="443"/>
    </row>
    <row r="386">
      <c r="H386" s="443"/>
    </row>
    <row r="387">
      <c r="H387" s="443"/>
    </row>
    <row r="388">
      <c r="H388" s="443"/>
    </row>
    <row r="389">
      <c r="H389" s="443"/>
    </row>
    <row r="390">
      <c r="H390" s="443"/>
    </row>
    <row r="391">
      <c r="H391" s="443"/>
    </row>
    <row r="392">
      <c r="H392" s="443"/>
    </row>
    <row r="393">
      <c r="H393" s="443"/>
    </row>
    <row r="394">
      <c r="H394" s="443"/>
    </row>
    <row r="395">
      <c r="H395" s="443"/>
    </row>
    <row r="396">
      <c r="H396" s="443"/>
    </row>
    <row r="397">
      <c r="H397" s="443"/>
    </row>
    <row r="398">
      <c r="H398" s="443"/>
    </row>
    <row r="399">
      <c r="H399" s="443"/>
    </row>
    <row r="400">
      <c r="H400" s="443"/>
    </row>
    <row r="401">
      <c r="H401" s="443"/>
    </row>
    <row r="402">
      <c r="H402" s="443"/>
    </row>
    <row r="403">
      <c r="H403" s="443"/>
    </row>
    <row r="404">
      <c r="H404" s="443"/>
    </row>
    <row r="405">
      <c r="H405" s="443"/>
    </row>
    <row r="406">
      <c r="H406" s="443"/>
    </row>
    <row r="407">
      <c r="H407" s="443"/>
    </row>
    <row r="408">
      <c r="H408" s="443"/>
    </row>
    <row r="409">
      <c r="H409" s="443"/>
    </row>
    <row r="410">
      <c r="H410" s="443"/>
    </row>
    <row r="411">
      <c r="H411" s="443"/>
    </row>
    <row r="412">
      <c r="H412" s="443"/>
    </row>
    <row r="413">
      <c r="H413" s="443"/>
    </row>
    <row r="414">
      <c r="H414" s="443"/>
    </row>
    <row r="415">
      <c r="H415" s="443"/>
    </row>
    <row r="416">
      <c r="H416" s="443"/>
    </row>
    <row r="417">
      <c r="H417" s="443"/>
    </row>
    <row r="418">
      <c r="H418" s="443"/>
    </row>
    <row r="419">
      <c r="H419" s="443"/>
    </row>
    <row r="420">
      <c r="H420" s="443"/>
    </row>
    <row r="421">
      <c r="H421" s="443"/>
    </row>
    <row r="422">
      <c r="H422" s="443"/>
    </row>
    <row r="423">
      <c r="H423" s="443"/>
    </row>
    <row r="424">
      <c r="H424" s="443"/>
    </row>
    <row r="425">
      <c r="H425" s="443"/>
    </row>
    <row r="426">
      <c r="H426" s="443"/>
    </row>
    <row r="427">
      <c r="H427" s="443"/>
    </row>
    <row r="428">
      <c r="H428" s="443"/>
    </row>
    <row r="429">
      <c r="H429" s="443"/>
    </row>
    <row r="430">
      <c r="H430" s="443"/>
    </row>
    <row r="431">
      <c r="H431" s="443"/>
    </row>
    <row r="432">
      <c r="H432" s="443"/>
    </row>
    <row r="433">
      <c r="H433" s="443"/>
    </row>
    <row r="434">
      <c r="H434" s="443"/>
    </row>
    <row r="435">
      <c r="H435" s="443"/>
    </row>
    <row r="436">
      <c r="H436" s="443"/>
    </row>
    <row r="437">
      <c r="H437" s="443"/>
    </row>
    <row r="438">
      <c r="H438" s="443"/>
    </row>
    <row r="439">
      <c r="H439" s="443"/>
    </row>
    <row r="440">
      <c r="H440" s="443"/>
    </row>
    <row r="441">
      <c r="H441" s="443"/>
    </row>
    <row r="442">
      <c r="H442" s="443"/>
    </row>
    <row r="443">
      <c r="H443" s="443"/>
    </row>
    <row r="444">
      <c r="H444" s="443"/>
    </row>
    <row r="445">
      <c r="H445" s="443"/>
    </row>
    <row r="446">
      <c r="H446" s="443"/>
    </row>
    <row r="447">
      <c r="H447" s="443"/>
    </row>
    <row r="448">
      <c r="H448" s="443"/>
    </row>
    <row r="449">
      <c r="H449" s="443"/>
    </row>
    <row r="450">
      <c r="H450" s="443"/>
    </row>
    <row r="451">
      <c r="H451" s="443"/>
    </row>
    <row r="452">
      <c r="H452" s="443"/>
    </row>
    <row r="453">
      <c r="H453" s="443"/>
    </row>
    <row r="454">
      <c r="H454" s="443"/>
    </row>
    <row r="455">
      <c r="H455" s="443"/>
    </row>
    <row r="456">
      <c r="H456" s="443"/>
    </row>
    <row r="457">
      <c r="H457" s="443"/>
    </row>
    <row r="458">
      <c r="H458" s="443"/>
    </row>
    <row r="459">
      <c r="H459" s="443"/>
    </row>
    <row r="460">
      <c r="H460" s="443"/>
    </row>
    <row r="461">
      <c r="H461" s="443"/>
    </row>
    <row r="462">
      <c r="H462" s="443"/>
    </row>
    <row r="463">
      <c r="H463" s="443"/>
    </row>
    <row r="464">
      <c r="H464" s="443"/>
    </row>
    <row r="465">
      <c r="H465" s="443"/>
    </row>
    <row r="466">
      <c r="H466" s="443"/>
    </row>
    <row r="467">
      <c r="H467" s="443"/>
    </row>
    <row r="468">
      <c r="H468" s="443"/>
    </row>
    <row r="469">
      <c r="H469" s="443"/>
    </row>
    <row r="470">
      <c r="H470" s="443"/>
    </row>
    <row r="471">
      <c r="H471" s="443"/>
    </row>
    <row r="472">
      <c r="H472" s="443"/>
    </row>
    <row r="473">
      <c r="H473" s="443"/>
    </row>
    <row r="474">
      <c r="H474" s="443"/>
    </row>
    <row r="475">
      <c r="H475" s="443"/>
    </row>
    <row r="476">
      <c r="H476" s="443"/>
    </row>
    <row r="477">
      <c r="H477" s="443"/>
    </row>
    <row r="478">
      <c r="H478" s="443"/>
    </row>
    <row r="479">
      <c r="H479" s="443"/>
    </row>
    <row r="480">
      <c r="H480" s="443"/>
    </row>
    <row r="481">
      <c r="H481" s="443"/>
    </row>
    <row r="482">
      <c r="H482" s="443"/>
    </row>
    <row r="483">
      <c r="H483" s="443"/>
    </row>
    <row r="484">
      <c r="H484" s="443"/>
    </row>
    <row r="485">
      <c r="H485" s="443"/>
    </row>
    <row r="486">
      <c r="H486" s="443"/>
    </row>
    <row r="487">
      <c r="H487" s="443"/>
    </row>
    <row r="488">
      <c r="H488" s="443"/>
    </row>
    <row r="489">
      <c r="H489" s="443"/>
    </row>
    <row r="490">
      <c r="H490" s="443"/>
    </row>
    <row r="491">
      <c r="H491" s="443"/>
    </row>
    <row r="492">
      <c r="H492" s="443"/>
    </row>
    <row r="493">
      <c r="H493" s="443"/>
    </row>
    <row r="494">
      <c r="H494" s="443"/>
    </row>
    <row r="495">
      <c r="H495" s="443"/>
    </row>
    <row r="496">
      <c r="H496" s="443"/>
    </row>
    <row r="497">
      <c r="H497" s="443"/>
    </row>
    <row r="498">
      <c r="H498" s="443"/>
    </row>
    <row r="499">
      <c r="H499" s="443"/>
    </row>
    <row r="500">
      <c r="H500" s="443"/>
    </row>
    <row r="501">
      <c r="H501" s="443"/>
    </row>
    <row r="502">
      <c r="H502" s="443"/>
    </row>
    <row r="503">
      <c r="H503" s="443"/>
    </row>
    <row r="504">
      <c r="H504" s="443"/>
    </row>
    <row r="505">
      <c r="H505" s="443"/>
    </row>
    <row r="506">
      <c r="H506" s="443"/>
    </row>
    <row r="507">
      <c r="H507" s="443"/>
    </row>
    <row r="508">
      <c r="H508" s="443"/>
    </row>
    <row r="509">
      <c r="H509" s="443"/>
    </row>
    <row r="510">
      <c r="H510" s="443"/>
    </row>
    <row r="511">
      <c r="H511" s="443"/>
    </row>
    <row r="512">
      <c r="H512" s="443"/>
    </row>
    <row r="513">
      <c r="H513" s="443"/>
    </row>
    <row r="514">
      <c r="H514" s="443"/>
    </row>
    <row r="515">
      <c r="H515" s="443"/>
    </row>
    <row r="516">
      <c r="H516" s="443"/>
    </row>
    <row r="517">
      <c r="H517" s="443"/>
    </row>
    <row r="518">
      <c r="H518" s="443"/>
    </row>
    <row r="519">
      <c r="H519" s="443"/>
    </row>
    <row r="520">
      <c r="H520" s="443"/>
    </row>
    <row r="521">
      <c r="H521" s="443"/>
    </row>
    <row r="522">
      <c r="H522" s="443"/>
    </row>
    <row r="523">
      <c r="H523" s="443"/>
    </row>
    <row r="524">
      <c r="H524" s="443"/>
    </row>
    <row r="525">
      <c r="H525" s="443"/>
    </row>
    <row r="526">
      <c r="H526" s="443"/>
    </row>
    <row r="527">
      <c r="H527" s="443"/>
    </row>
    <row r="528">
      <c r="H528" s="443"/>
    </row>
    <row r="529">
      <c r="H529" s="443"/>
    </row>
    <row r="530">
      <c r="H530" s="443"/>
    </row>
    <row r="531">
      <c r="H531" s="443"/>
    </row>
    <row r="532">
      <c r="H532" s="443"/>
    </row>
    <row r="533">
      <c r="H533" s="443"/>
    </row>
    <row r="534">
      <c r="H534" s="443"/>
    </row>
    <row r="535">
      <c r="H535" s="443"/>
    </row>
    <row r="536">
      <c r="H536" s="443"/>
    </row>
    <row r="537">
      <c r="H537" s="443"/>
    </row>
    <row r="538">
      <c r="H538" s="443"/>
    </row>
    <row r="539">
      <c r="H539" s="443"/>
    </row>
    <row r="540">
      <c r="H540" s="443"/>
    </row>
    <row r="541">
      <c r="H541" s="443"/>
    </row>
    <row r="542">
      <c r="H542" s="443"/>
    </row>
    <row r="543">
      <c r="H543" s="443"/>
    </row>
    <row r="544">
      <c r="H544" s="443"/>
    </row>
    <row r="545">
      <c r="H545" s="443"/>
    </row>
    <row r="546">
      <c r="H546" s="443"/>
    </row>
    <row r="547">
      <c r="H547" s="443"/>
    </row>
    <row r="548">
      <c r="H548" s="443"/>
    </row>
    <row r="549">
      <c r="H549" s="443"/>
    </row>
    <row r="550">
      <c r="H550" s="443"/>
    </row>
    <row r="551">
      <c r="H551" s="443"/>
    </row>
    <row r="552">
      <c r="H552" s="443"/>
    </row>
    <row r="553">
      <c r="H553" s="443"/>
    </row>
    <row r="554">
      <c r="H554" s="443"/>
    </row>
    <row r="555">
      <c r="H555" s="443"/>
    </row>
    <row r="556">
      <c r="H556" s="443"/>
    </row>
    <row r="557">
      <c r="H557" s="443"/>
    </row>
    <row r="558">
      <c r="H558" s="443"/>
    </row>
    <row r="559">
      <c r="H559" s="443"/>
    </row>
    <row r="560">
      <c r="H560" s="443"/>
    </row>
    <row r="561">
      <c r="H561" s="443"/>
    </row>
    <row r="562">
      <c r="H562" s="443"/>
    </row>
    <row r="563">
      <c r="H563" s="443"/>
    </row>
    <row r="564">
      <c r="H564" s="443"/>
    </row>
    <row r="565">
      <c r="H565" s="443"/>
    </row>
    <row r="566">
      <c r="H566" s="443"/>
    </row>
    <row r="567">
      <c r="H567" s="443"/>
    </row>
    <row r="568">
      <c r="H568" s="443"/>
    </row>
    <row r="569">
      <c r="H569" s="443"/>
    </row>
    <row r="570">
      <c r="H570" s="443"/>
    </row>
    <row r="571">
      <c r="H571" s="443"/>
    </row>
    <row r="572">
      <c r="H572" s="443"/>
    </row>
    <row r="573">
      <c r="H573" s="443"/>
    </row>
    <row r="574">
      <c r="H574" s="443"/>
    </row>
    <row r="575">
      <c r="H575" s="443"/>
    </row>
    <row r="576">
      <c r="H576" s="443"/>
    </row>
    <row r="577">
      <c r="H577" s="443"/>
    </row>
    <row r="578">
      <c r="H578" s="443"/>
    </row>
    <row r="579">
      <c r="H579" s="443"/>
    </row>
    <row r="580">
      <c r="H580" s="443"/>
    </row>
    <row r="581">
      <c r="H581" s="443"/>
    </row>
    <row r="582">
      <c r="H582" s="443"/>
    </row>
    <row r="583">
      <c r="H583" s="443"/>
    </row>
    <row r="584">
      <c r="H584" s="443"/>
    </row>
    <row r="585">
      <c r="H585" s="443"/>
    </row>
    <row r="586">
      <c r="H586" s="443"/>
    </row>
    <row r="587">
      <c r="H587" s="443"/>
    </row>
    <row r="588">
      <c r="H588" s="443"/>
    </row>
    <row r="589">
      <c r="H589" s="443"/>
    </row>
    <row r="590">
      <c r="H590" s="443"/>
    </row>
    <row r="591">
      <c r="H591" s="443"/>
    </row>
    <row r="592">
      <c r="H592" s="443"/>
    </row>
    <row r="593">
      <c r="H593" s="443"/>
    </row>
    <row r="594">
      <c r="H594" s="443"/>
    </row>
    <row r="595">
      <c r="H595" s="443"/>
    </row>
    <row r="596">
      <c r="H596" s="443"/>
    </row>
    <row r="597">
      <c r="H597" s="443"/>
    </row>
    <row r="598">
      <c r="H598" s="443"/>
    </row>
    <row r="599">
      <c r="H599" s="443"/>
    </row>
    <row r="600">
      <c r="H600" s="443"/>
    </row>
    <row r="601">
      <c r="H601" s="443"/>
    </row>
    <row r="602">
      <c r="H602" s="443"/>
    </row>
    <row r="603">
      <c r="H603" s="443"/>
    </row>
    <row r="604">
      <c r="H604" s="443"/>
    </row>
    <row r="605">
      <c r="H605" s="443"/>
    </row>
    <row r="606">
      <c r="H606" s="443"/>
    </row>
    <row r="607">
      <c r="H607" s="443"/>
    </row>
    <row r="608">
      <c r="H608" s="443"/>
    </row>
    <row r="609">
      <c r="H609" s="443"/>
    </row>
    <row r="610">
      <c r="H610" s="443"/>
    </row>
    <row r="611">
      <c r="H611" s="443"/>
    </row>
    <row r="612">
      <c r="H612" s="443"/>
    </row>
    <row r="613">
      <c r="H613" s="443"/>
    </row>
    <row r="614">
      <c r="H614" s="443"/>
    </row>
    <row r="615">
      <c r="H615" s="443"/>
    </row>
    <row r="616">
      <c r="H616" s="443"/>
    </row>
    <row r="617">
      <c r="H617" s="443"/>
    </row>
    <row r="618">
      <c r="H618" s="443"/>
    </row>
    <row r="619">
      <c r="H619" s="443"/>
    </row>
    <row r="620">
      <c r="H620" s="443"/>
    </row>
    <row r="621">
      <c r="H621" s="443"/>
    </row>
    <row r="622">
      <c r="H622" s="443"/>
    </row>
    <row r="623">
      <c r="H623" s="443"/>
    </row>
    <row r="624">
      <c r="H624" s="443"/>
    </row>
    <row r="625">
      <c r="H625" s="443"/>
    </row>
    <row r="626">
      <c r="H626" s="443"/>
    </row>
    <row r="627">
      <c r="H627" s="443"/>
    </row>
    <row r="628">
      <c r="H628" s="443"/>
    </row>
    <row r="629">
      <c r="H629" s="443"/>
    </row>
    <row r="630">
      <c r="H630" s="443"/>
    </row>
    <row r="631">
      <c r="H631" s="443"/>
    </row>
    <row r="632">
      <c r="H632" s="443"/>
    </row>
    <row r="633">
      <c r="H633" s="443"/>
    </row>
    <row r="634">
      <c r="H634" s="443"/>
    </row>
    <row r="635">
      <c r="H635" s="443"/>
    </row>
    <row r="636">
      <c r="H636" s="443"/>
    </row>
    <row r="637">
      <c r="H637" s="443"/>
    </row>
    <row r="638">
      <c r="H638" s="443"/>
    </row>
    <row r="639">
      <c r="H639" s="443"/>
    </row>
    <row r="640">
      <c r="H640" s="443"/>
    </row>
    <row r="641">
      <c r="H641" s="443"/>
    </row>
    <row r="642">
      <c r="H642" s="443"/>
    </row>
    <row r="643">
      <c r="H643" s="443"/>
    </row>
    <row r="644">
      <c r="H644" s="443"/>
    </row>
    <row r="645">
      <c r="H645" s="443"/>
    </row>
    <row r="646">
      <c r="H646" s="443"/>
    </row>
    <row r="647">
      <c r="H647" s="443"/>
    </row>
    <row r="648">
      <c r="H648" s="443"/>
    </row>
    <row r="649">
      <c r="H649" s="443"/>
    </row>
    <row r="650">
      <c r="H650" s="443"/>
    </row>
    <row r="651">
      <c r="H651" s="443"/>
    </row>
    <row r="652">
      <c r="H652" s="443"/>
    </row>
    <row r="653">
      <c r="H653" s="443"/>
    </row>
    <row r="654">
      <c r="H654" s="443"/>
    </row>
    <row r="655">
      <c r="H655" s="443"/>
    </row>
    <row r="656">
      <c r="H656" s="443"/>
    </row>
    <row r="657">
      <c r="H657" s="443"/>
    </row>
    <row r="658">
      <c r="H658" s="443"/>
    </row>
    <row r="659">
      <c r="H659" s="443"/>
    </row>
    <row r="660">
      <c r="H660" s="443"/>
    </row>
    <row r="661">
      <c r="H661" s="443"/>
    </row>
    <row r="662">
      <c r="H662" s="443"/>
    </row>
    <row r="663">
      <c r="H663" s="443"/>
    </row>
    <row r="664">
      <c r="H664" s="443"/>
    </row>
    <row r="665">
      <c r="H665" s="443"/>
    </row>
    <row r="666">
      <c r="H666" s="443"/>
    </row>
    <row r="667">
      <c r="H667" s="443"/>
    </row>
    <row r="668">
      <c r="H668" s="443"/>
    </row>
    <row r="669">
      <c r="H669" s="443"/>
    </row>
    <row r="670">
      <c r="H670" s="443"/>
    </row>
    <row r="671">
      <c r="H671" s="443"/>
    </row>
    <row r="672">
      <c r="H672" s="443"/>
    </row>
    <row r="673">
      <c r="H673" s="443"/>
    </row>
    <row r="674">
      <c r="H674" s="443"/>
    </row>
    <row r="675">
      <c r="H675" s="443"/>
    </row>
    <row r="676">
      <c r="H676" s="443"/>
    </row>
    <row r="677">
      <c r="H677" s="443"/>
    </row>
    <row r="678">
      <c r="H678" s="443"/>
    </row>
    <row r="679">
      <c r="H679" s="443"/>
    </row>
    <row r="680">
      <c r="H680" s="443"/>
    </row>
    <row r="681">
      <c r="H681" s="443"/>
    </row>
    <row r="682">
      <c r="H682" s="443"/>
    </row>
    <row r="683">
      <c r="H683" s="443"/>
    </row>
    <row r="684">
      <c r="H684" s="443"/>
    </row>
    <row r="685">
      <c r="H685" s="443"/>
    </row>
    <row r="686">
      <c r="H686" s="443"/>
    </row>
    <row r="687">
      <c r="H687" s="443"/>
    </row>
    <row r="688">
      <c r="H688" s="443"/>
    </row>
    <row r="689">
      <c r="H689" s="443"/>
    </row>
    <row r="690">
      <c r="H690" s="443"/>
    </row>
    <row r="691">
      <c r="H691" s="443"/>
    </row>
    <row r="692">
      <c r="H692" s="443"/>
    </row>
    <row r="693">
      <c r="H693" s="443"/>
    </row>
    <row r="694">
      <c r="H694" s="443"/>
    </row>
    <row r="695">
      <c r="H695" s="443"/>
    </row>
    <row r="696">
      <c r="H696" s="443"/>
    </row>
    <row r="697">
      <c r="H697" s="443"/>
    </row>
    <row r="698">
      <c r="H698" s="443"/>
    </row>
    <row r="699">
      <c r="H699" s="443"/>
    </row>
    <row r="700">
      <c r="H700" s="443"/>
    </row>
    <row r="701">
      <c r="H701" s="443"/>
    </row>
    <row r="702">
      <c r="H702" s="443"/>
    </row>
    <row r="703">
      <c r="H703" s="443"/>
    </row>
    <row r="704">
      <c r="H704" s="443"/>
    </row>
    <row r="705">
      <c r="H705" s="443"/>
    </row>
    <row r="706">
      <c r="H706" s="443"/>
    </row>
    <row r="707">
      <c r="H707" s="443"/>
    </row>
    <row r="708">
      <c r="H708" s="443"/>
    </row>
    <row r="709">
      <c r="H709" s="443"/>
    </row>
    <row r="710">
      <c r="H710" s="443"/>
    </row>
    <row r="711">
      <c r="H711" s="443"/>
    </row>
    <row r="712">
      <c r="H712" s="443"/>
    </row>
    <row r="713">
      <c r="H713" s="443"/>
    </row>
    <row r="714">
      <c r="H714" s="443"/>
    </row>
    <row r="715">
      <c r="H715" s="443"/>
    </row>
    <row r="716">
      <c r="H716" s="443"/>
    </row>
    <row r="717">
      <c r="H717" s="443"/>
    </row>
    <row r="718">
      <c r="H718" s="443"/>
    </row>
    <row r="719">
      <c r="H719" s="443"/>
    </row>
    <row r="720">
      <c r="H720" s="443"/>
    </row>
    <row r="721">
      <c r="H721" s="443"/>
    </row>
    <row r="722">
      <c r="H722" s="443"/>
    </row>
    <row r="723">
      <c r="H723" s="443"/>
    </row>
    <row r="724">
      <c r="H724" s="443"/>
    </row>
    <row r="725">
      <c r="H725" s="443"/>
    </row>
    <row r="726">
      <c r="H726" s="443"/>
    </row>
    <row r="727">
      <c r="H727" s="443"/>
    </row>
    <row r="728">
      <c r="H728" s="443"/>
    </row>
    <row r="729">
      <c r="H729" s="443"/>
    </row>
    <row r="730">
      <c r="H730" s="443"/>
    </row>
    <row r="731">
      <c r="H731" s="443"/>
    </row>
    <row r="732">
      <c r="H732" s="443"/>
    </row>
    <row r="733">
      <c r="H733" s="443"/>
    </row>
    <row r="734">
      <c r="H734" s="443"/>
    </row>
    <row r="735">
      <c r="H735" s="443"/>
    </row>
    <row r="736">
      <c r="H736" s="443"/>
    </row>
    <row r="737">
      <c r="H737" s="443"/>
    </row>
    <row r="738">
      <c r="H738" s="443"/>
    </row>
    <row r="739">
      <c r="H739" s="443"/>
    </row>
    <row r="740">
      <c r="H740" s="443"/>
    </row>
    <row r="741">
      <c r="H741" s="443"/>
    </row>
    <row r="742">
      <c r="H742" s="443"/>
    </row>
    <row r="743">
      <c r="H743" s="443"/>
    </row>
    <row r="744">
      <c r="H744" s="443"/>
    </row>
    <row r="745">
      <c r="H745" s="443"/>
    </row>
    <row r="746">
      <c r="H746" s="443"/>
    </row>
    <row r="747">
      <c r="H747" s="443"/>
    </row>
    <row r="748">
      <c r="H748" s="443"/>
    </row>
    <row r="749">
      <c r="H749" s="443"/>
    </row>
    <row r="750">
      <c r="H750" s="443"/>
    </row>
    <row r="751">
      <c r="H751" s="443"/>
    </row>
    <row r="752">
      <c r="H752" s="443"/>
    </row>
    <row r="753">
      <c r="H753" s="443"/>
    </row>
    <row r="754">
      <c r="H754" s="443"/>
    </row>
    <row r="755">
      <c r="H755" s="443"/>
    </row>
    <row r="756">
      <c r="H756" s="443"/>
    </row>
    <row r="757">
      <c r="H757" s="443"/>
    </row>
    <row r="758">
      <c r="H758" s="443"/>
    </row>
    <row r="759">
      <c r="H759" s="443"/>
    </row>
    <row r="760">
      <c r="H760" s="443"/>
    </row>
    <row r="761">
      <c r="H761" s="443"/>
    </row>
    <row r="762">
      <c r="H762" s="443"/>
    </row>
    <row r="763">
      <c r="H763" s="443"/>
    </row>
    <row r="764">
      <c r="H764" s="443"/>
    </row>
    <row r="765">
      <c r="H765" s="443"/>
    </row>
    <row r="766">
      <c r="H766" s="443"/>
    </row>
    <row r="767">
      <c r="H767" s="443"/>
    </row>
    <row r="768">
      <c r="H768" s="443"/>
    </row>
    <row r="769">
      <c r="H769" s="443"/>
    </row>
    <row r="770">
      <c r="H770" s="443"/>
    </row>
    <row r="771">
      <c r="H771" s="443"/>
    </row>
    <row r="772">
      <c r="H772" s="443"/>
    </row>
    <row r="773">
      <c r="H773" s="443"/>
    </row>
    <row r="774">
      <c r="H774" s="443"/>
    </row>
    <row r="775">
      <c r="H775" s="443"/>
    </row>
    <row r="776">
      <c r="H776" s="443"/>
    </row>
    <row r="777">
      <c r="H777" s="443"/>
    </row>
    <row r="778">
      <c r="H778" s="443"/>
    </row>
    <row r="779">
      <c r="H779" s="443"/>
    </row>
    <row r="780">
      <c r="H780" s="443"/>
    </row>
    <row r="781">
      <c r="H781" s="443"/>
    </row>
    <row r="782">
      <c r="H782" s="443"/>
    </row>
    <row r="783">
      <c r="H783" s="443"/>
    </row>
    <row r="784">
      <c r="H784" s="443"/>
    </row>
    <row r="785">
      <c r="H785" s="443"/>
    </row>
    <row r="786">
      <c r="H786" s="443"/>
    </row>
    <row r="787">
      <c r="H787" s="443"/>
    </row>
    <row r="788">
      <c r="H788" s="443"/>
    </row>
    <row r="789">
      <c r="H789" s="443"/>
    </row>
    <row r="790">
      <c r="H790" s="443"/>
    </row>
    <row r="791">
      <c r="H791" s="443"/>
    </row>
    <row r="792">
      <c r="H792" s="443"/>
    </row>
    <row r="793">
      <c r="H793" s="443"/>
    </row>
    <row r="794">
      <c r="H794" s="443"/>
    </row>
    <row r="795">
      <c r="H795" s="443"/>
    </row>
    <row r="796">
      <c r="H796" s="443"/>
    </row>
    <row r="797">
      <c r="H797" s="443"/>
    </row>
    <row r="798">
      <c r="H798" s="443"/>
    </row>
    <row r="799">
      <c r="H799" s="443"/>
    </row>
    <row r="800">
      <c r="H800" s="443"/>
    </row>
    <row r="801">
      <c r="H801" s="443"/>
    </row>
    <row r="802">
      <c r="H802" s="443"/>
    </row>
    <row r="803">
      <c r="H803" s="443"/>
    </row>
    <row r="804">
      <c r="H804" s="443"/>
    </row>
    <row r="805">
      <c r="H805" s="443"/>
    </row>
    <row r="806">
      <c r="H806" s="443"/>
    </row>
    <row r="807">
      <c r="H807" s="443"/>
    </row>
    <row r="808">
      <c r="H808" s="443"/>
    </row>
    <row r="809">
      <c r="H809" s="443"/>
    </row>
    <row r="810">
      <c r="H810" s="443"/>
    </row>
    <row r="811">
      <c r="H811" s="443"/>
    </row>
    <row r="812">
      <c r="H812" s="443"/>
    </row>
    <row r="813">
      <c r="H813" s="443"/>
    </row>
    <row r="814">
      <c r="H814" s="443"/>
    </row>
    <row r="815">
      <c r="H815" s="443"/>
    </row>
    <row r="816">
      <c r="H816" s="443"/>
    </row>
    <row r="817">
      <c r="H817" s="443"/>
    </row>
    <row r="818">
      <c r="H818" s="443"/>
    </row>
    <row r="819">
      <c r="H819" s="443"/>
    </row>
    <row r="820">
      <c r="H820" s="443"/>
    </row>
    <row r="821">
      <c r="H821" s="443"/>
    </row>
    <row r="822">
      <c r="H822" s="443"/>
    </row>
    <row r="823">
      <c r="H823" s="443"/>
    </row>
    <row r="824">
      <c r="H824" s="443"/>
    </row>
    <row r="825">
      <c r="H825" s="443"/>
    </row>
    <row r="826">
      <c r="H826" s="443"/>
    </row>
    <row r="827">
      <c r="H827" s="443"/>
    </row>
    <row r="828">
      <c r="H828" s="443"/>
    </row>
    <row r="829">
      <c r="H829" s="443"/>
    </row>
    <row r="830">
      <c r="H830" s="443"/>
    </row>
    <row r="831">
      <c r="H831" s="443"/>
    </row>
    <row r="832">
      <c r="H832" s="443"/>
    </row>
    <row r="833">
      <c r="H833" s="443"/>
    </row>
    <row r="834">
      <c r="H834" s="443"/>
    </row>
    <row r="835">
      <c r="H835" s="443"/>
    </row>
    <row r="836">
      <c r="H836" s="443"/>
    </row>
    <row r="837">
      <c r="H837" s="443"/>
    </row>
    <row r="838">
      <c r="H838" s="443"/>
    </row>
    <row r="839">
      <c r="H839" s="443"/>
    </row>
    <row r="840">
      <c r="H840" s="443"/>
    </row>
    <row r="841">
      <c r="H841" s="443"/>
    </row>
    <row r="842">
      <c r="H842" s="443"/>
    </row>
    <row r="843">
      <c r="H843" s="443"/>
    </row>
    <row r="844">
      <c r="H844" s="443"/>
    </row>
    <row r="845">
      <c r="H845" s="443"/>
    </row>
    <row r="846">
      <c r="H846" s="443"/>
    </row>
    <row r="847">
      <c r="H847" s="443"/>
    </row>
    <row r="848">
      <c r="H848" s="443"/>
    </row>
    <row r="849">
      <c r="H849" s="443"/>
    </row>
    <row r="850">
      <c r="H850" s="443"/>
    </row>
    <row r="851">
      <c r="H851" s="443"/>
    </row>
    <row r="852">
      <c r="H852" s="443"/>
    </row>
    <row r="853">
      <c r="H853" s="443"/>
    </row>
    <row r="854">
      <c r="H854" s="443"/>
    </row>
    <row r="855">
      <c r="H855" s="443"/>
    </row>
    <row r="856">
      <c r="H856" s="443"/>
    </row>
    <row r="857">
      <c r="H857" s="443"/>
    </row>
    <row r="858">
      <c r="H858" s="443"/>
    </row>
    <row r="859">
      <c r="H859" s="443"/>
    </row>
    <row r="860">
      <c r="H860" s="443"/>
    </row>
    <row r="861">
      <c r="H861" s="443"/>
    </row>
    <row r="862">
      <c r="H862" s="443"/>
    </row>
    <row r="863">
      <c r="H863" s="443"/>
    </row>
    <row r="864">
      <c r="H864" s="443"/>
    </row>
    <row r="865">
      <c r="H865" s="443"/>
    </row>
    <row r="866">
      <c r="H866" s="443"/>
    </row>
    <row r="867">
      <c r="H867" s="443"/>
    </row>
    <row r="868">
      <c r="H868" s="443"/>
    </row>
    <row r="869">
      <c r="H869" s="443"/>
    </row>
    <row r="870">
      <c r="H870" s="443"/>
    </row>
    <row r="871">
      <c r="H871" s="443"/>
    </row>
    <row r="872">
      <c r="H872" s="443"/>
    </row>
    <row r="873">
      <c r="H873" s="443"/>
    </row>
    <row r="874">
      <c r="H874" s="443"/>
    </row>
    <row r="875">
      <c r="H875" s="443"/>
    </row>
    <row r="876">
      <c r="H876" s="443"/>
    </row>
    <row r="877">
      <c r="H877" s="443"/>
    </row>
    <row r="878">
      <c r="H878" s="443"/>
    </row>
    <row r="879">
      <c r="H879" s="443"/>
    </row>
    <row r="880">
      <c r="H880" s="443"/>
    </row>
    <row r="881">
      <c r="H881" s="443"/>
    </row>
    <row r="882">
      <c r="H882" s="443"/>
    </row>
    <row r="883">
      <c r="H883" s="443"/>
    </row>
    <row r="884">
      <c r="H884" s="443"/>
    </row>
    <row r="885">
      <c r="H885" s="443"/>
    </row>
    <row r="886">
      <c r="H886" s="443"/>
    </row>
    <row r="887">
      <c r="H887" s="443"/>
    </row>
    <row r="888">
      <c r="H888" s="443"/>
    </row>
    <row r="889">
      <c r="H889" s="443"/>
    </row>
    <row r="890">
      <c r="H890" s="443"/>
    </row>
    <row r="891">
      <c r="H891" s="443"/>
    </row>
    <row r="892">
      <c r="H892" s="443"/>
    </row>
    <row r="893">
      <c r="H893" s="443"/>
    </row>
    <row r="894">
      <c r="H894" s="443"/>
    </row>
    <row r="895">
      <c r="H895" s="443"/>
    </row>
    <row r="896">
      <c r="H896" s="443"/>
    </row>
    <row r="897">
      <c r="H897" s="443"/>
    </row>
    <row r="898">
      <c r="H898" s="443"/>
    </row>
    <row r="899">
      <c r="H899" s="443"/>
    </row>
    <row r="900">
      <c r="H900" s="443"/>
    </row>
    <row r="901">
      <c r="H901" s="443"/>
    </row>
    <row r="902">
      <c r="H902" s="443"/>
    </row>
    <row r="903">
      <c r="H903" s="443"/>
    </row>
    <row r="904">
      <c r="H904" s="443"/>
    </row>
    <row r="905">
      <c r="H905" s="443"/>
    </row>
    <row r="906">
      <c r="H906" s="443"/>
    </row>
    <row r="907">
      <c r="H907" s="443"/>
    </row>
    <row r="908">
      <c r="H908" s="443"/>
    </row>
    <row r="909">
      <c r="H909" s="443"/>
    </row>
    <row r="910">
      <c r="H910" s="443"/>
    </row>
    <row r="911">
      <c r="H911" s="443"/>
    </row>
    <row r="912">
      <c r="H912" s="443"/>
    </row>
    <row r="913">
      <c r="H913" s="443"/>
    </row>
    <row r="914">
      <c r="H914" s="443"/>
    </row>
    <row r="915">
      <c r="H915" s="443"/>
    </row>
    <row r="916">
      <c r="H916" s="443"/>
    </row>
    <row r="917">
      <c r="H917" s="443"/>
    </row>
    <row r="918">
      <c r="H918" s="443"/>
    </row>
    <row r="919">
      <c r="H919" s="443"/>
    </row>
    <row r="920">
      <c r="H920" s="443"/>
    </row>
    <row r="921">
      <c r="H921" s="443"/>
    </row>
    <row r="922">
      <c r="H922" s="443"/>
    </row>
    <row r="923">
      <c r="H923" s="443"/>
    </row>
    <row r="924">
      <c r="H924" s="443"/>
    </row>
    <row r="925">
      <c r="H925" s="443"/>
    </row>
    <row r="926">
      <c r="H926" s="443"/>
    </row>
    <row r="927">
      <c r="H927" s="443"/>
    </row>
    <row r="928">
      <c r="H928" s="443"/>
    </row>
    <row r="929">
      <c r="H929" s="443"/>
    </row>
    <row r="930">
      <c r="H930" s="443"/>
    </row>
    <row r="931">
      <c r="H931" s="443"/>
    </row>
    <row r="932">
      <c r="H932" s="443"/>
    </row>
    <row r="933">
      <c r="H933" s="443"/>
    </row>
    <row r="934">
      <c r="H934" s="443"/>
    </row>
    <row r="935">
      <c r="H935" s="443"/>
    </row>
    <row r="936">
      <c r="H936" s="443"/>
    </row>
    <row r="937">
      <c r="H937" s="443"/>
    </row>
    <row r="938">
      <c r="H938" s="443"/>
    </row>
    <row r="939">
      <c r="H939" s="443"/>
    </row>
    <row r="940">
      <c r="H940" s="443"/>
    </row>
    <row r="941">
      <c r="H941" s="443"/>
    </row>
    <row r="942">
      <c r="H942" s="443"/>
    </row>
    <row r="943">
      <c r="H943" s="443"/>
    </row>
    <row r="944">
      <c r="H944" s="443"/>
    </row>
    <row r="945">
      <c r="H945" s="443"/>
    </row>
    <row r="946">
      <c r="H946" s="443"/>
    </row>
    <row r="947">
      <c r="H947" s="443"/>
    </row>
    <row r="948">
      <c r="H948" s="443"/>
    </row>
    <row r="949">
      <c r="H949" s="443"/>
    </row>
    <row r="950">
      <c r="H950" s="443"/>
    </row>
    <row r="951">
      <c r="H951" s="443"/>
    </row>
    <row r="952">
      <c r="H952" s="443"/>
    </row>
    <row r="953">
      <c r="H953" s="443"/>
    </row>
    <row r="954">
      <c r="H954" s="443"/>
    </row>
    <row r="955">
      <c r="H955" s="443"/>
    </row>
    <row r="956">
      <c r="H956" s="443"/>
    </row>
    <row r="957">
      <c r="H957" s="443"/>
    </row>
    <row r="958">
      <c r="H958" s="443"/>
    </row>
    <row r="959">
      <c r="H959" s="443"/>
    </row>
    <row r="960">
      <c r="H960" s="443"/>
    </row>
    <row r="961">
      <c r="H961" s="443"/>
    </row>
    <row r="962">
      <c r="H962" s="443"/>
    </row>
    <row r="963">
      <c r="H963" s="443"/>
    </row>
    <row r="964">
      <c r="H964" s="443"/>
    </row>
    <row r="965">
      <c r="H965" s="443"/>
    </row>
    <row r="966">
      <c r="H966" s="443"/>
    </row>
    <row r="967">
      <c r="H967" s="443"/>
    </row>
    <row r="968">
      <c r="H968" s="443"/>
    </row>
    <row r="969">
      <c r="H969" s="443"/>
    </row>
    <row r="970">
      <c r="H970" s="443"/>
    </row>
    <row r="971">
      <c r="H971" s="443"/>
    </row>
    <row r="972">
      <c r="H972" s="443"/>
    </row>
    <row r="973">
      <c r="H973" s="443"/>
    </row>
    <row r="974">
      <c r="H974" s="443"/>
    </row>
    <row r="975">
      <c r="H975" s="443"/>
    </row>
    <row r="976">
      <c r="H976" s="443"/>
    </row>
    <row r="977">
      <c r="H977" s="443"/>
    </row>
    <row r="978">
      <c r="H978" s="443"/>
    </row>
    <row r="979">
      <c r="H979" s="443"/>
    </row>
    <row r="980">
      <c r="H980" s="443"/>
    </row>
    <row r="981">
      <c r="H981" s="443"/>
    </row>
    <row r="982">
      <c r="H982" s="443"/>
    </row>
    <row r="983">
      <c r="H983" s="443"/>
    </row>
    <row r="984">
      <c r="H984" s="443"/>
    </row>
    <row r="985">
      <c r="H985" s="443"/>
    </row>
    <row r="986">
      <c r="H986" s="443"/>
    </row>
    <row r="987">
      <c r="H987" s="443"/>
    </row>
    <row r="988">
      <c r="H988" s="443"/>
    </row>
    <row r="989">
      <c r="H989" s="443"/>
    </row>
    <row r="990">
      <c r="H990" s="443"/>
    </row>
    <row r="991">
      <c r="H991" s="443"/>
    </row>
    <row r="992">
      <c r="H992" s="443"/>
    </row>
    <row r="993">
      <c r="H993" s="443"/>
    </row>
    <row r="994">
      <c r="H994" s="443"/>
    </row>
    <row r="995">
      <c r="H995" s="443"/>
    </row>
    <row r="996">
      <c r="H996" s="443"/>
    </row>
    <row r="997">
      <c r="H997" s="443"/>
    </row>
  </sheetData>
  <autoFilter ref="$A$1:$G$49"/>
  <hyperlinks>
    <hyperlink r:id="rId1" ref="H2"/>
    <hyperlink r:id="rId2" ref="H3"/>
    <hyperlink r:id="rId3" ref="H4"/>
    <hyperlink r:id="rId4" ref="H5"/>
    <hyperlink r:id="rId5" ref="I5"/>
    <hyperlink r:id="rId6" ref="H6"/>
    <hyperlink r:id="rId7" ref="I6"/>
    <hyperlink r:id="rId8" ref="H7"/>
    <hyperlink r:id="rId9" ref="H8"/>
    <hyperlink r:id="rId10" ref="I8"/>
    <hyperlink r:id="rId11" ref="H9"/>
    <hyperlink r:id="rId12" ref="I9"/>
    <hyperlink r:id="rId13" ref="H10"/>
    <hyperlink r:id="rId14" ref="H11"/>
    <hyperlink r:id="rId15" ref="I11"/>
    <hyperlink r:id="rId16" ref="H12"/>
    <hyperlink r:id="rId17" ref="H13"/>
    <hyperlink r:id="rId18" ref="I13"/>
    <hyperlink r:id="rId19" ref="H14"/>
    <hyperlink r:id="rId20" ref="I14"/>
    <hyperlink r:id="rId21" ref="H15"/>
    <hyperlink r:id="rId22" ref="I15"/>
    <hyperlink r:id="rId23" ref="G16"/>
    <hyperlink r:id="rId24" ref="H16"/>
    <hyperlink r:id="rId25" ref="I16"/>
    <hyperlink r:id="rId26" ref="H17"/>
    <hyperlink r:id="rId27" ref="I17"/>
    <hyperlink r:id="rId28" ref="H18"/>
    <hyperlink r:id="rId29" ref="I18"/>
    <hyperlink r:id="rId30" ref="H19"/>
    <hyperlink r:id="rId31" ref="H20"/>
    <hyperlink r:id="rId32" ref="G21"/>
    <hyperlink r:id="rId33" ref="H21"/>
    <hyperlink r:id="rId34" ref="H22"/>
    <hyperlink r:id="rId35" ref="I22"/>
    <hyperlink r:id="rId36" ref="H23"/>
    <hyperlink r:id="rId37" ref="H24"/>
    <hyperlink r:id="rId38" ref="H25"/>
    <hyperlink r:id="rId39" ref="H26"/>
    <hyperlink r:id="rId40" ref="I26"/>
    <hyperlink r:id="rId41" ref="H27"/>
    <hyperlink r:id="rId42" ref="H28"/>
    <hyperlink r:id="rId43" ref="H29"/>
    <hyperlink r:id="rId44" ref="H30"/>
    <hyperlink r:id="rId45" ref="I30"/>
    <hyperlink r:id="rId46" ref="H31"/>
    <hyperlink r:id="rId47" ref="H32"/>
    <hyperlink r:id="rId48" ref="H33"/>
    <hyperlink r:id="rId49" ref="G34"/>
    <hyperlink r:id="rId50" ref="H34"/>
    <hyperlink r:id="rId51" ref="G35"/>
    <hyperlink r:id="rId52" ref="H35"/>
    <hyperlink r:id="rId53" ref="I35"/>
    <hyperlink r:id="rId54" ref="H36"/>
    <hyperlink r:id="rId55" ref="H37"/>
    <hyperlink r:id="rId56" ref="H38"/>
    <hyperlink r:id="rId57" ref="H39"/>
    <hyperlink r:id="rId58" ref="H40"/>
    <hyperlink r:id="rId59" ref="H41"/>
  </hyperlinks>
  <drawing r:id="rId60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6.89"/>
    <col customWidth="1" min="3" max="3" width="8.11"/>
    <col customWidth="1" min="4" max="4" width="54.89"/>
    <col customWidth="1" min="7" max="7" width="48.22"/>
    <col customWidth="1" min="8" max="8" width="67.44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5" t="s">
        <v>1054</v>
      </c>
      <c r="H1" s="476" t="s">
        <v>1257</v>
      </c>
      <c r="I1" s="429" t="s">
        <v>1057</v>
      </c>
    </row>
    <row r="2">
      <c r="A2" s="38">
        <v>46408.0</v>
      </c>
      <c r="B2" s="44">
        <v>1.0</v>
      </c>
      <c r="C2" s="44" t="s">
        <v>645</v>
      </c>
      <c r="D2" s="58" t="s">
        <v>1498</v>
      </c>
      <c r="E2" s="58"/>
      <c r="F2" s="58"/>
      <c r="G2" s="435" t="s">
        <v>1499</v>
      </c>
      <c r="H2" s="432" t="s">
        <v>1500</v>
      </c>
      <c r="I2" s="110"/>
    </row>
    <row r="3">
      <c r="A3" s="38">
        <v>46409.0</v>
      </c>
      <c r="B3" s="44">
        <v>2.0</v>
      </c>
      <c r="C3" s="44" t="s">
        <v>645</v>
      </c>
      <c r="D3" s="58" t="s">
        <v>1503</v>
      </c>
      <c r="E3" s="58"/>
      <c r="F3" s="58"/>
      <c r="G3" s="435" t="s">
        <v>1499</v>
      </c>
      <c r="H3" s="432" t="s">
        <v>1504</v>
      </c>
      <c r="I3" s="110"/>
    </row>
    <row r="4">
      <c r="A4" s="38">
        <v>46410.0</v>
      </c>
      <c r="B4" s="44">
        <v>3.0</v>
      </c>
      <c r="C4" s="44" t="s">
        <v>645</v>
      </c>
      <c r="D4" s="58" t="s">
        <v>1505</v>
      </c>
      <c r="E4" s="58"/>
      <c r="F4" s="58"/>
      <c r="G4" s="435" t="s">
        <v>1506</v>
      </c>
      <c r="H4" s="432" t="s">
        <v>1507</v>
      </c>
      <c r="I4" s="110"/>
    </row>
    <row r="5">
      <c r="A5" s="38">
        <v>46411.0</v>
      </c>
      <c r="B5" s="44">
        <v>4.0</v>
      </c>
      <c r="C5" s="44"/>
      <c r="D5" s="58" t="s">
        <v>1508</v>
      </c>
      <c r="E5" s="58"/>
      <c r="F5" s="58"/>
      <c r="G5" s="110"/>
      <c r="H5" s="432" t="s">
        <v>1509</v>
      </c>
      <c r="I5" s="110"/>
    </row>
    <row r="6">
      <c r="A6" s="38">
        <v>46412.0</v>
      </c>
      <c r="B6" s="44">
        <v>5.0</v>
      </c>
      <c r="C6" s="44"/>
      <c r="D6" s="58" t="s">
        <v>1510</v>
      </c>
      <c r="E6" s="58"/>
      <c r="F6" s="58"/>
      <c r="G6" s="110"/>
      <c r="H6" s="432" t="s">
        <v>1511</v>
      </c>
      <c r="I6" s="110"/>
    </row>
    <row r="7">
      <c r="A7" s="442"/>
      <c r="B7" s="442"/>
      <c r="H7" s="443"/>
    </row>
    <row r="8">
      <c r="A8" s="442"/>
      <c r="B8" s="442"/>
      <c r="H8" s="443"/>
    </row>
    <row r="9">
      <c r="A9" s="442"/>
      <c r="B9" s="442"/>
      <c r="H9" s="443"/>
    </row>
    <row r="10">
      <c r="A10" s="482"/>
      <c r="B10" s="482"/>
      <c r="C10" s="444"/>
      <c r="D10" s="444"/>
      <c r="E10" s="444"/>
      <c r="F10" s="444"/>
      <c r="H10" s="443"/>
    </row>
    <row r="11">
      <c r="A11" s="442"/>
      <c r="B11" s="442"/>
      <c r="H11" s="443"/>
    </row>
    <row r="12">
      <c r="A12" s="442"/>
      <c r="B12" s="442"/>
      <c r="G12" s="483"/>
      <c r="H12" s="443"/>
    </row>
    <row r="13">
      <c r="A13" s="442"/>
      <c r="B13" s="442"/>
      <c r="G13" s="483"/>
      <c r="H13" s="443"/>
    </row>
    <row r="14">
      <c r="A14" s="442"/>
      <c r="B14" s="442"/>
      <c r="G14" s="483"/>
      <c r="H14" s="443"/>
    </row>
    <row r="15">
      <c r="A15" s="442"/>
      <c r="B15" s="442"/>
      <c r="G15" s="483"/>
      <c r="H15" s="443"/>
    </row>
    <row r="16">
      <c r="A16" s="442"/>
      <c r="B16" s="442"/>
      <c r="G16" s="483"/>
      <c r="H16" s="443"/>
    </row>
    <row r="17">
      <c r="A17" s="442"/>
      <c r="B17" s="442"/>
      <c r="G17" s="483"/>
      <c r="H17" s="443"/>
    </row>
    <row r="18">
      <c r="A18" s="442"/>
      <c r="B18" s="442"/>
      <c r="G18" s="483"/>
      <c r="H18" s="443"/>
    </row>
    <row r="19">
      <c r="A19" s="442"/>
      <c r="B19" s="442"/>
      <c r="G19" s="483"/>
      <c r="H19" s="443"/>
    </row>
    <row r="20">
      <c r="A20" s="442"/>
      <c r="B20" s="442"/>
      <c r="G20" s="483"/>
      <c r="H20" s="443"/>
    </row>
    <row r="21">
      <c r="A21" s="442"/>
      <c r="B21" s="442"/>
      <c r="G21" s="483"/>
      <c r="H21" s="443"/>
    </row>
    <row r="22">
      <c r="A22" s="442"/>
      <c r="B22" s="442"/>
      <c r="G22" s="483"/>
      <c r="H22" s="443"/>
    </row>
    <row r="23">
      <c r="A23" s="442"/>
      <c r="B23" s="442"/>
      <c r="G23" s="483"/>
      <c r="H23" s="443"/>
    </row>
    <row r="24">
      <c r="A24" s="442"/>
      <c r="B24" s="442"/>
      <c r="G24" s="483"/>
      <c r="H24" s="443"/>
    </row>
    <row r="25">
      <c r="A25" s="442"/>
      <c r="B25" s="442"/>
      <c r="G25" s="483"/>
      <c r="H25" s="443"/>
    </row>
    <row r="26">
      <c r="A26" s="442"/>
      <c r="B26" s="442"/>
      <c r="G26" s="483"/>
      <c r="H26" s="443"/>
    </row>
    <row r="27">
      <c r="A27" s="442"/>
      <c r="B27" s="442"/>
      <c r="G27" s="483"/>
      <c r="H27" s="443"/>
    </row>
    <row r="28">
      <c r="A28" s="442"/>
      <c r="B28" s="442"/>
      <c r="G28" s="483"/>
      <c r="H28" s="443"/>
    </row>
    <row r="29">
      <c r="A29" s="442"/>
      <c r="B29" s="442"/>
      <c r="G29" s="483"/>
      <c r="H29" s="443"/>
    </row>
    <row r="30">
      <c r="A30" s="442"/>
      <c r="B30" s="442"/>
      <c r="G30" s="483"/>
      <c r="H30" s="443"/>
    </row>
    <row r="31">
      <c r="A31" s="442"/>
      <c r="B31" s="442"/>
      <c r="G31" s="483"/>
      <c r="H31" s="443"/>
    </row>
    <row r="32">
      <c r="A32" s="442"/>
      <c r="B32" s="442"/>
      <c r="G32" s="483"/>
      <c r="H32" s="443"/>
    </row>
    <row r="33">
      <c r="A33" s="442"/>
      <c r="B33" s="442"/>
      <c r="G33" s="483"/>
      <c r="H33" s="443"/>
    </row>
    <row r="34">
      <c r="A34" s="442"/>
      <c r="B34" s="442"/>
      <c r="G34" s="483"/>
      <c r="H34" s="443"/>
    </row>
    <row r="35">
      <c r="A35" s="442"/>
      <c r="B35" s="442"/>
      <c r="G35" s="483"/>
      <c r="H35" s="443"/>
    </row>
    <row r="36">
      <c r="A36" s="442"/>
      <c r="B36" s="442"/>
      <c r="G36" s="483"/>
      <c r="H36" s="443"/>
    </row>
    <row r="37">
      <c r="A37" s="442"/>
      <c r="B37" s="442"/>
      <c r="G37" s="483"/>
      <c r="H37" s="443"/>
    </row>
    <row r="38">
      <c r="A38" s="442"/>
      <c r="B38" s="442"/>
      <c r="G38" s="483"/>
      <c r="H38" s="443"/>
    </row>
    <row r="39">
      <c r="A39" s="442"/>
      <c r="B39" s="442"/>
      <c r="G39" s="483"/>
      <c r="H39" s="443"/>
    </row>
    <row r="40">
      <c r="A40" s="442"/>
      <c r="B40" s="442"/>
      <c r="G40" s="483"/>
      <c r="H40" s="443"/>
    </row>
    <row r="41">
      <c r="A41" s="442"/>
      <c r="B41" s="442"/>
      <c r="G41" s="483"/>
      <c r="H41" s="443"/>
    </row>
    <row r="42">
      <c r="A42" s="442"/>
      <c r="B42" s="442"/>
      <c r="G42" s="483"/>
      <c r="H42" s="443"/>
    </row>
    <row r="43">
      <c r="A43" s="442"/>
      <c r="B43" s="442"/>
      <c r="G43" s="483"/>
      <c r="H43" s="443"/>
    </row>
    <row r="44">
      <c r="A44" s="442"/>
      <c r="B44" s="442"/>
      <c r="G44" s="483"/>
      <c r="H44" s="443"/>
    </row>
    <row r="45">
      <c r="A45" s="442"/>
      <c r="B45" s="442"/>
      <c r="G45" s="483"/>
      <c r="H45" s="443"/>
    </row>
    <row r="46">
      <c r="A46" s="442"/>
      <c r="B46" s="442"/>
      <c r="G46" s="483"/>
      <c r="H46" s="443"/>
    </row>
    <row r="47">
      <c r="A47" s="442"/>
      <c r="B47" s="442"/>
      <c r="G47" s="483"/>
      <c r="H47" s="443"/>
    </row>
    <row r="48">
      <c r="A48" s="442"/>
      <c r="B48" s="442"/>
      <c r="G48" s="483"/>
      <c r="H48" s="443"/>
    </row>
    <row r="49">
      <c r="A49" s="442"/>
      <c r="B49" s="442"/>
      <c r="G49" s="483"/>
      <c r="H49" s="443"/>
    </row>
    <row r="50">
      <c r="A50" s="442"/>
      <c r="B50" s="442"/>
      <c r="G50" s="483"/>
      <c r="H50" s="443"/>
    </row>
    <row r="51">
      <c r="A51" s="442"/>
      <c r="B51" s="442"/>
      <c r="G51" s="483"/>
      <c r="H51" s="443"/>
    </row>
    <row r="52">
      <c r="A52" s="442"/>
      <c r="B52" s="442"/>
      <c r="G52" s="483"/>
      <c r="H52" s="443"/>
    </row>
    <row r="53">
      <c r="A53" s="442"/>
      <c r="B53" s="442"/>
      <c r="G53" s="483"/>
      <c r="H53" s="443"/>
    </row>
    <row r="54">
      <c r="A54" s="442"/>
      <c r="B54" s="442"/>
      <c r="G54" s="483"/>
      <c r="H54" s="443"/>
    </row>
    <row r="55">
      <c r="A55" s="442"/>
      <c r="B55" s="442"/>
      <c r="G55" s="483"/>
      <c r="H55" s="443"/>
    </row>
    <row r="56">
      <c r="A56" s="442"/>
      <c r="B56" s="442"/>
      <c r="G56" s="483"/>
      <c r="H56" s="443"/>
    </row>
    <row r="57">
      <c r="A57" s="442"/>
      <c r="B57" s="442"/>
      <c r="G57" s="483"/>
      <c r="H57" s="443"/>
    </row>
    <row r="58">
      <c r="A58" s="442"/>
      <c r="B58" s="442"/>
      <c r="G58" s="483"/>
      <c r="H58" s="443"/>
    </row>
    <row r="59">
      <c r="A59" s="442"/>
      <c r="B59" s="442"/>
      <c r="G59" s="483"/>
      <c r="H59" s="443"/>
    </row>
    <row r="60">
      <c r="A60" s="442"/>
      <c r="B60" s="442"/>
      <c r="G60" s="483"/>
      <c r="H60" s="443"/>
    </row>
    <row r="61">
      <c r="A61" s="442"/>
      <c r="B61" s="442"/>
      <c r="G61" s="483"/>
      <c r="H61" s="443"/>
    </row>
    <row r="62">
      <c r="A62" s="442"/>
      <c r="B62" s="442"/>
      <c r="G62" s="483"/>
      <c r="H62" s="443"/>
    </row>
    <row r="63">
      <c r="A63" s="442"/>
      <c r="B63" s="442"/>
      <c r="G63" s="483"/>
      <c r="H63" s="443"/>
    </row>
    <row r="64">
      <c r="A64" s="442"/>
      <c r="B64" s="442"/>
      <c r="G64" s="483"/>
      <c r="H64" s="443"/>
    </row>
    <row r="65">
      <c r="A65" s="442"/>
      <c r="B65" s="442"/>
      <c r="G65" s="483"/>
      <c r="H65" s="443"/>
    </row>
    <row r="66">
      <c r="A66" s="442"/>
      <c r="B66" s="442"/>
      <c r="G66" s="483"/>
      <c r="H66" s="443"/>
    </row>
    <row r="67">
      <c r="A67" s="442"/>
      <c r="B67" s="442"/>
      <c r="G67" s="483"/>
      <c r="H67" s="443"/>
    </row>
    <row r="68">
      <c r="A68" s="442"/>
      <c r="B68" s="442"/>
      <c r="G68" s="483"/>
      <c r="H68" s="443"/>
    </row>
    <row r="69">
      <c r="A69" s="442"/>
      <c r="B69" s="442"/>
      <c r="G69" s="483"/>
      <c r="H69" s="443"/>
    </row>
    <row r="70">
      <c r="A70" s="442"/>
      <c r="B70" s="442"/>
      <c r="G70" s="483"/>
      <c r="H70" s="443"/>
    </row>
    <row r="71">
      <c r="A71" s="442"/>
      <c r="B71" s="442"/>
      <c r="G71" s="483"/>
      <c r="H71" s="443"/>
    </row>
    <row r="72">
      <c r="A72" s="442"/>
      <c r="B72" s="442"/>
      <c r="G72" s="483"/>
      <c r="H72" s="443"/>
    </row>
    <row r="73">
      <c r="A73" s="442"/>
      <c r="B73" s="442"/>
      <c r="G73" s="483"/>
      <c r="H73" s="443"/>
    </row>
    <row r="74">
      <c r="A74" s="442"/>
      <c r="B74" s="442"/>
      <c r="G74" s="483"/>
      <c r="H74" s="443"/>
    </row>
    <row r="75">
      <c r="A75" s="442"/>
      <c r="B75" s="442"/>
      <c r="G75" s="483"/>
      <c r="H75" s="443"/>
    </row>
    <row r="76">
      <c r="A76" s="442"/>
      <c r="B76" s="442"/>
      <c r="G76" s="483"/>
      <c r="H76" s="443"/>
    </row>
    <row r="77">
      <c r="A77" s="442"/>
      <c r="B77" s="442"/>
      <c r="G77" s="483"/>
      <c r="H77" s="443"/>
    </row>
    <row r="78">
      <c r="A78" s="442"/>
      <c r="B78" s="442"/>
      <c r="G78" s="483"/>
      <c r="H78" s="443"/>
    </row>
    <row r="79">
      <c r="A79" s="442"/>
      <c r="B79" s="442"/>
      <c r="G79" s="483"/>
      <c r="H79" s="443"/>
    </row>
    <row r="80">
      <c r="A80" s="442"/>
      <c r="B80" s="442"/>
      <c r="G80" s="483"/>
      <c r="H80" s="443"/>
    </row>
    <row r="81">
      <c r="A81" s="442"/>
      <c r="B81" s="442"/>
      <c r="G81" s="483"/>
      <c r="H81" s="443"/>
    </row>
    <row r="82">
      <c r="A82" s="442"/>
      <c r="B82" s="442"/>
      <c r="G82" s="483"/>
      <c r="H82" s="443"/>
    </row>
    <row r="83">
      <c r="A83" s="442"/>
      <c r="B83" s="442"/>
      <c r="G83" s="483"/>
      <c r="H83" s="443"/>
    </row>
    <row r="84">
      <c r="A84" s="442"/>
      <c r="B84" s="442"/>
      <c r="G84" s="483"/>
      <c r="H84" s="443"/>
    </row>
    <row r="85">
      <c r="A85" s="442"/>
      <c r="B85" s="442"/>
      <c r="G85" s="483"/>
      <c r="H85" s="443"/>
    </row>
    <row r="86">
      <c r="A86" s="442"/>
      <c r="B86" s="442"/>
      <c r="G86" s="483"/>
      <c r="H86" s="443"/>
    </row>
    <row r="87">
      <c r="A87" s="442"/>
      <c r="B87" s="442"/>
      <c r="G87" s="483"/>
      <c r="H87" s="443"/>
    </row>
    <row r="88">
      <c r="A88" s="442"/>
      <c r="B88" s="442"/>
      <c r="G88" s="483"/>
      <c r="H88" s="443"/>
    </row>
    <row r="89">
      <c r="A89" s="442"/>
      <c r="B89" s="442"/>
      <c r="G89" s="483"/>
      <c r="H89" s="443"/>
    </row>
    <row r="90">
      <c r="A90" s="442"/>
      <c r="B90" s="442"/>
      <c r="G90" s="483"/>
      <c r="H90" s="443"/>
    </row>
    <row r="91">
      <c r="A91" s="442"/>
      <c r="B91" s="442"/>
      <c r="G91" s="483"/>
      <c r="H91" s="443"/>
    </row>
    <row r="92">
      <c r="A92" s="442"/>
      <c r="B92" s="442"/>
      <c r="G92" s="483"/>
      <c r="H92" s="443"/>
    </row>
    <row r="93">
      <c r="A93" s="442"/>
      <c r="B93" s="442"/>
      <c r="G93" s="483"/>
      <c r="H93" s="443"/>
    </row>
    <row r="94">
      <c r="A94" s="442"/>
      <c r="B94" s="442"/>
      <c r="G94" s="483"/>
      <c r="H94" s="443"/>
    </row>
    <row r="95">
      <c r="A95" s="442"/>
      <c r="B95" s="442"/>
      <c r="G95" s="483"/>
      <c r="H95" s="443"/>
    </row>
    <row r="96">
      <c r="A96" s="442"/>
      <c r="B96" s="442"/>
      <c r="G96" s="483"/>
      <c r="H96" s="443"/>
    </row>
    <row r="97">
      <c r="A97" s="442"/>
      <c r="B97" s="442"/>
      <c r="G97" s="483"/>
      <c r="H97" s="443"/>
    </row>
    <row r="98">
      <c r="A98" s="442"/>
      <c r="B98" s="442"/>
      <c r="G98" s="483"/>
      <c r="H98" s="443"/>
    </row>
    <row r="99">
      <c r="A99" s="442"/>
      <c r="B99" s="442"/>
      <c r="G99" s="483"/>
      <c r="H99" s="443"/>
    </row>
    <row r="100">
      <c r="A100" s="442"/>
      <c r="B100" s="442"/>
      <c r="G100" s="483"/>
      <c r="H100" s="443"/>
    </row>
    <row r="101">
      <c r="A101" s="442"/>
      <c r="B101" s="442"/>
      <c r="G101" s="483"/>
      <c r="H101" s="443"/>
    </row>
    <row r="102">
      <c r="A102" s="442"/>
      <c r="B102" s="442"/>
      <c r="G102" s="483"/>
      <c r="H102" s="443"/>
    </row>
    <row r="103">
      <c r="A103" s="442"/>
      <c r="B103" s="442"/>
      <c r="G103" s="483"/>
      <c r="H103" s="443"/>
    </row>
    <row r="104">
      <c r="A104" s="442"/>
      <c r="B104" s="442"/>
      <c r="G104" s="483"/>
      <c r="H104" s="443"/>
    </row>
    <row r="105">
      <c r="A105" s="442"/>
      <c r="B105" s="442"/>
      <c r="G105" s="483"/>
      <c r="H105" s="443"/>
    </row>
    <row r="106">
      <c r="A106" s="442"/>
      <c r="B106" s="442"/>
      <c r="G106" s="483"/>
      <c r="H106" s="443"/>
    </row>
    <row r="107">
      <c r="A107" s="442"/>
      <c r="B107" s="442"/>
      <c r="G107" s="483"/>
      <c r="H107" s="443"/>
    </row>
    <row r="108">
      <c r="A108" s="442"/>
      <c r="B108" s="442"/>
      <c r="G108" s="483"/>
      <c r="H108" s="443"/>
    </row>
    <row r="109">
      <c r="A109" s="442"/>
      <c r="B109" s="442"/>
      <c r="G109" s="483"/>
      <c r="H109" s="443"/>
    </row>
    <row r="110">
      <c r="A110" s="442"/>
      <c r="B110" s="442"/>
      <c r="G110" s="483"/>
      <c r="H110" s="443"/>
    </row>
    <row r="111">
      <c r="A111" s="442"/>
      <c r="B111" s="442"/>
      <c r="G111" s="483"/>
      <c r="H111" s="443"/>
    </row>
    <row r="112">
      <c r="A112" s="442"/>
      <c r="B112" s="442"/>
      <c r="G112" s="483"/>
      <c r="H112" s="443"/>
    </row>
    <row r="113">
      <c r="A113" s="442"/>
      <c r="B113" s="442"/>
      <c r="G113" s="483"/>
      <c r="H113" s="443"/>
    </row>
    <row r="114">
      <c r="A114" s="442"/>
      <c r="B114" s="442"/>
      <c r="G114" s="483"/>
      <c r="H114" s="443"/>
    </row>
    <row r="115">
      <c r="A115" s="442"/>
      <c r="B115" s="442"/>
      <c r="G115" s="483"/>
      <c r="H115" s="443"/>
    </row>
    <row r="116">
      <c r="A116" s="442"/>
      <c r="B116" s="442"/>
      <c r="G116" s="483"/>
      <c r="H116" s="443"/>
    </row>
    <row r="117">
      <c r="A117" s="442"/>
      <c r="B117" s="442"/>
      <c r="G117" s="483"/>
      <c r="H117" s="443"/>
    </row>
    <row r="118">
      <c r="A118" s="442"/>
      <c r="B118" s="442"/>
      <c r="G118" s="483"/>
      <c r="H118" s="443"/>
    </row>
    <row r="119">
      <c r="A119" s="442"/>
      <c r="B119" s="442"/>
      <c r="G119" s="483"/>
      <c r="H119" s="443"/>
    </row>
    <row r="120">
      <c r="A120" s="442"/>
      <c r="B120" s="442"/>
      <c r="G120" s="483"/>
      <c r="H120" s="443"/>
    </row>
    <row r="121">
      <c r="A121" s="442"/>
      <c r="B121" s="442"/>
      <c r="G121" s="483"/>
      <c r="H121" s="443"/>
    </row>
    <row r="122">
      <c r="A122" s="442"/>
      <c r="B122" s="442"/>
      <c r="G122" s="483"/>
      <c r="H122" s="443"/>
    </row>
    <row r="123">
      <c r="A123" s="442"/>
      <c r="B123" s="442"/>
      <c r="G123" s="483"/>
      <c r="H123" s="443"/>
    </row>
    <row r="124">
      <c r="A124" s="442"/>
      <c r="B124" s="442"/>
      <c r="G124" s="483"/>
      <c r="H124" s="443"/>
    </row>
    <row r="125">
      <c r="A125" s="442"/>
      <c r="B125" s="442"/>
      <c r="G125" s="483"/>
      <c r="H125" s="443"/>
    </row>
    <row r="126">
      <c r="A126" s="442"/>
      <c r="B126" s="442"/>
      <c r="G126" s="483"/>
      <c r="H126" s="443"/>
    </row>
    <row r="127">
      <c r="A127" s="442"/>
      <c r="B127" s="442"/>
      <c r="G127" s="483"/>
      <c r="H127" s="443"/>
    </row>
    <row r="128">
      <c r="A128" s="442"/>
      <c r="B128" s="442"/>
      <c r="G128" s="483"/>
      <c r="H128" s="443"/>
    </row>
    <row r="129">
      <c r="A129" s="442"/>
      <c r="B129" s="442"/>
      <c r="G129" s="483"/>
      <c r="H129" s="443"/>
    </row>
    <row r="130">
      <c r="A130" s="442"/>
      <c r="B130" s="442"/>
      <c r="G130" s="483"/>
      <c r="H130" s="443"/>
    </row>
    <row r="131">
      <c r="A131" s="442"/>
      <c r="B131" s="442"/>
      <c r="G131" s="483"/>
      <c r="H131" s="443"/>
    </row>
    <row r="132">
      <c r="A132" s="442"/>
      <c r="B132" s="442"/>
      <c r="G132" s="483"/>
      <c r="H132" s="443"/>
    </row>
    <row r="133">
      <c r="A133" s="442"/>
      <c r="B133" s="442"/>
      <c r="G133" s="483"/>
      <c r="H133" s="443"/>
    </row>
    <row r="134">
      <c r="A134" s="442"/>
      <c r="B134" s="442"/>
      <c r="G134" s="483"/>
      <c r="H134" s="443"/>
    </row>
    <row r="135">
      <c r="A135" s="442"/>
      <c r="B135" s="442"/>
      <c r="G135" s="483"/>
      <c r="H135" s="443"/>
    </row>
    <row r="136">
      <c r="A136" s="442"/>
      <c r="B136" s="442"/>
      <c r="G136" s="483"/>
      <c r="H136" s="443"/>
    </row>
    <row r="137">
      <c r="A137" s="442"/>
      <c r="B137" s="442"/>
      <c r="G137" s="483"/>
      <c r="H137" s="443"/>
    </row>
    <row r="138">
      <c r="A138" s="442"/>
      <c r="B138" s="442"/>
      <c r="G138" s="483"/>
      <c r="H138" s="443"/>
    </row>
    <row r="139">
      <c r="A139" s="442"/>
      <c r="B139" s="442"/>
      <c r="G139" s="483"/>
      <c r="H139" s="443"/>
    </row>
    <row r="140">
      <c r="A140" s="442"/>
      <c r="B140" s="442"/>
      <c r="G140" s="483"/>
      <c r="H140" s="443"/>
    </row>
    <row r="141">
      <c r="A141" s="442"/>
      <c r="B141" s="442"/>
      <c r="G141" s="483"/>
      <c r="H141" s="443"/>
    </row>
    <row r="142">
      <c r="A142" s="442"/>
      <c r="B142" s="442"/>
      <c r="G142" s="483"/>
      <c r="H142" s="443"/>
    </row>
    <row r="143">
      <c r="A143" s="442"/>
      <c r="B143" s="442"/>
      <c r="G143" s="483"/>
      <c r="H143" s="443"/>
    </row>
    <row r="144">
      <c r="A144" s="442"/>
      <c r="B144" s="442"/>
      <c r="G144" s="483"/>
      <c r="H144" s="443"/>
    </row>
    <row r="145">
      <c r="A145" s="442"/>
      <c r="B145" s="442"/>
      <c r="G145" s="483"/>
      <c r="H145" s="443"/>
    </row>
    <row r="146">
      <c r="A146" s="442"/>
      <c r="B146" s="442"/>
      <c r="G146" s="483"/>
      <c r="H146" s="443"/>
    </row>
    <row r="147">
      <c r="A147" s="442"/>
      <c r="B147" s="442"/>
      <c r="G147" s="483"/>
      <c r="H147" s="443"/>
    </row>
    <row r="148">
      <c r="A148" s="442"/>
      <c r="B148" s="442"/>
      <c r="G148" s="483"/>
      <c r="H148" s="443"/>
    </row>
    <row r="149">
      <c r="A149" s="442"/>
      <c r="B149" s="442"/>
      <c r="G149" s="483"/>
      <c r="H149" s="443"/>
    </row>
    <row r="150">
      <c r="A150" s="442"/>
      <c r="B150" s="442"/>
      <c r="G150" s="483"/>
      <c r="H150" s="443"/>
    </row>
    <row r="151">
      <c r="A151" s="442"/>
      <c r="B151" s="442"/>
      <c r="G151" s="483"/>
      <c r="H151" s="443"/>
    </row>
    <row r="152">
      <c r="A152" s="442"/>
      <c r="B152" s="442"/>
      <c r="G152" s="483"/>
      <c r="H152" s="443"/>
    </row>
    <row r="153">
      <c r="A153" s="442"/>
      <c r="B153" s="442"/>
      <c r="G153" s="483"/>
      <c r="H153" s="443"/>
    </row>
    <row r="154">
      <c r="A154" s="442"/>
      <c r="B154" s="442"/>
      <c r="G154" s="483"/>
      <c r="H154" s="443"/>
    </row>
    <row r="155">
      <c r="A155" s="442"/>
      <c r="B155" s="442"/>
      <c r="G155" s="483"/>
      <c r="H155" s="443"/>
    </row>
    <row r="156">
      <c r="A156" s="442"/>
      <c r="B156" s="442"/>
      <c r="G156" s="483"/>
      <c r="H156" s="443"/>
    </row>
    <row r="157">
      <c r="A157" s="442"/>
      <c r="B157" s="442"/>
      <c r="G157" s="483"/>
      <c r="H157" s="443"/>
    </row>
    <row r="158">
      <c r="A158" s="442"/>
      <c r="B158" s="442"/>
      <c r="G158" s="483"/>
      <c r="H158" s="443"/>
    </row>
    <row r="159">
      <c r="A159" s="442"/>
      <c r="B159" s="442"/>
      <c r="G159" s="483"/>
      <c r="H159" s="443"/>
    </row>
    <row r="160">
      <c r="A160" s="442"/>
      <c r="B160" s="442"/>
      <c r="G160" s="483"/>
      <c r="H160" s="443"/>
    </row>
    <row r="161">
      <c r="A161" s="442"/>
      <c r="B161" s="442"/>
      <c r="G161" s="483"/>
      <c r="H161" s="443"/>
    </row>
    <row r="162">
      <c r="A162" s="442"/>
      <c r="B162" s="442"/>
      <c r="G162" s="483"/>
      <c r="H162" s="443"/>
    </row>
    <row r="163">
      <c r="A163" s="442"/>
      <c r="B163" s="442"/>
      <c r="G163" s="483"/>
      <c r="H163" s="443"/>
    </row>
    <row r="164">
      <c r="A164" s="442"/>
      <c r="B164" s="442"/>
      <c r="G164" s="483"/>
      <c r="H164" s="443"/>
    </row>
    <row r="165">
      <c r="A165" s="442"/>
      <c r="B165" s="442"/>
      <c r="G165" s="483"/>
      <c r="H165" s="443"/>
    </row>
    <row r="166">
      <c r="A166" s="442"/>
      <c r="B166" s="442"/>
      <c r="G166" s="483"/>
      <c r="H166" s="443"/>
    </row>
    <row r="167">
      <c r="A167" s="442"/>
      <c r="B167" s="442"/>
      <c r="G167" s="483"/>
      <c r="H167" s="443"/>
    </row>
    <row r="168">
      <c r="A168" s="442"/>
      <c r="B168" s="442"/>
      <c r="G168" s="483"/>
      <c r="H168" s="443"/>
    </row>
    <row r="169">
      <c r="A169" s="442"/>
      <c r="B169" s="442"/>
      <c r="G169" s="483"/>
      <c r="H169" s="443"/>
    </row>
    <row r="170">
      <c r="A170" s="442"/>
      <c r="B170" s="442"/>
      <c r="G170" s="483"/>
      <c r="H170" s="443"/>
    </row>
    <row r="171">
      <c r="A171" s="442"/>
      <c r="B171" s="442"/>
      <c r="G171" s="483"/>
      <c r="H171" s="443"/>
    </row>
    <row r="172">
      <c r="A172" s="442"/>
      <c r="B172" s="442"/>
      <c r="G172" s="483"/>
      <c r="H172" s="443"/>
    </row>
    <row r="173">
      <c r="A173" s="442"/>
      <c r="B173" s="442"/>
      <c r="G173" s="483"/>
      <c r="H173" s="443"/>
    </row>
    <row r="174">
      <c r="A174" s="442"/>
      <c r="B174" s="442"/>
      <c r="G174" s="483"/>
      <c r="H174" s="443"/>
    </row>
    <row r="175">
      <c r="A175" s="442"/>
      <c r="B175" s="442"/>
      <c r="G175" s="483"/>
      <c r="H175" s="443"/>
    </row>
    <row r="176">
      <c r="A176" s="442"/>
      <c r="B176" s="442"/>
      <c r="G176" s="483"/>
      <c r="H176" s="443"/>
    </row>
    <row r="177">
      <c r="A177" s="442"/>
      <c r="B177" s="442"/>
      <c r="G177" s="483"/>
      <c r="H177" s="443"/>
    </row>
    <row r="178">
      <c r="A178" s="442"/>
      <c r="B178" s="442"/>
      <c r="G178" s="483"/>
      <c r="H178" s="443"/>
    </row>
    <row r="179">
      <c r="A179" s="442"/>
      <c r="B179" s="442"/>
      <c r="G179" s="483"/>
      <c r="H179" s="443"/>
    </row>
    <row r="180">
      <c r="A180" s="442"/>
      <c r="B180" s="442"/>
      <c r="G180" s="483"/>
      <c r="H180" s="443"/>
    </row>
    <row r="181">
      <c r="A181" s="442"/>
      <c r="B181" s="442"/>
      <c r="G181" s="483"/>
      <c r="H181" s="443"/>
    </row>
    <row r="182">
      <c r="A182" s="442"/>
      <c r="B182" s="442"/>
      <c r="G182" s="483"/>
      <c r="H182" s="443"/>
    </row>
    <row r="183">
      <c r="A183" s="442"/>
      <c r="B183" s="442"/>
      <c r="G183" s="483"/>
      <c r="H183" s="443"/>
    </row>
    <row r="184">
      <c r="A184" s="442"/>
      <c r="B184" s="442"/>
      <c r="G184" s="483"/>
      <c r="H184" s="443"/>
    </row>
    <row r="185">
      <c r="A185" s="442"/>
      <c r="B185" s="442"/>
      <c r="G185" s="483"/>
      <c r="H185" s="443"/>
    </row>
    <row r="186">
      <c r="A186" s="442"/>
      <c r="B186" s="442"/>
      <c r="G186" s="483"/>
      <c r="H186" s="443"/>
    </row>
    <row r="187">
      <c r="A187" s="442"/>
      <c r="B187" s="442"/>
      <c r="G187" s="483"/>
      <c r="H187" s="443"/>
    </row>
    <row r="188">
      <c r="A188" s="442"/>
      <c r="B188" s="442"/>
      <c r="G188" s="483"/>
      <c r="H188" s="443"/>
    </row>
    <row r="189">
      <c r="A189" s="442"/>
      <c r="B189" s="442"/>
      <c r="G189" s="483"/>
      <c r="H189" s="443"/>
    </row>
    <row r="190">
      <c r="A190" s="442"/>
      <c r="B190" s="442"/>
      <c r="G190" s="483"/>
      <c r="H190" s="443"/>
    </row>
    <row r="191">
      <c r="A191" s="442"/>
      <c r="B191" s="442"/>
      <c r="G191" s="483"/>
      <c r="H191" s="443"/>
    </row>
    <row r="192">
      <c r="A192" s="442"/>
      <c r="B192" s="442"/>
      <c r="G192" s="483"/>
      <c r="H192" s="443"/>
    </row>
    <row r="193">
      <c r="A193" s="442"/>
      <c r="B193" s="442"/>
      <c r="G193" s="483"/>
      <c r="H193" s="443"/>
    </row>
    <row r="194">
      <c r="A194" s="442"/>
      <c r="B194" s="442"/>
      <c r="G194" s="483"/>
      <c r="H194" s="443"/>
    </row>
    <row r="195">
      <c r="A195" s="442"/>
      <c r="B195" s="442"/>
      <c r="G195" s="483"/>
      <c r="H195" s="443"/>
    </row>
    <row r="196">
      <c r="A196" s="442"/>
      <c r="B196" s="442"/>
      <c r="G196" s="483"/>
      <c r="H196" s="443"/>
    </row>
    <row r="197">
      <c r="A197" s="442"/>
      <c r="B197" s="442"/>
      <c r="G197" s="483"/>
      <c r="H197" s="443"/>
    </row>
    <row r="198">
      <c r="A198" s="442"/>
      <c r="B198" s="442"/>
      <c r="G198" s="483"/>
      <c r="H198" s="443"/>
    </row>
    <row r="199">
      <c r="A199" s="442"/>
      <c r="B199" s="442"/>
      <c r="G199" s="483"/>
      <c r="H199" s="443"/>
    </row>
    <row r="200">
      <c r="A200" s="442"/>
      <c r="B200" s="442"/>
      <c r="G200" s="483"/>
      <c r="H200" s="443"/>
    </row>
    <row r="201">
      <c r="A201" s="442"/>
      <c r="B201" s="442"/>
      <c r="G201" s="483"/>
      <c r="H201" s="443"/>
    </row>
    <row r="202">
      <c r="A202" s="442"/>
      <c r="B202" s="442"/>
      <c r="G202" s="483"/>
      <c r="H202" s="443"/>
    </row>
    <row r="203">
      <c r="A203" s="442"/>
      <c r="B203" s="442"/>
      <c r="G203" s="483"/>
      <c r="H203" s="443"/>
    </row>
    <row r="204">
      <c r="A204" s="442"/>
      <c r="B204" s="442"/>
      <c r="G204" s="483"/>
      <c r="H204" s="443"/>
    </row>
    <row r="205">
      <c r="A205" s="442"/>
      <c r="B205" s="442"/>
      <c r="G205" s="483"/>
      <c r="H205" s="443"/>
    </row>
    <row r="206">
      <c r="A206" s="442"/>
      <c r="B206" s="442"/>
      <c r="G206" s="483"/>
      <c r="H206" s="443"/>
    </row>
    <row r="207">
      <c r="A207" s="442"/>
      <c r="B207" s="442"/>
      <c r="G207" s="483"/>
      <c r="H207" s="443"/>
    </row>
    <row r="208">
      <c r="A208" s="442"/>
      <c r="B208" s="442"/>
      <c r="G208" s="483"/>
      <c r="H208" s="443"/>
    </row>
    <row r="209">
      <c r="A209" s="442"/>
      <c r="B209" s="442"/>
      <c r="G209" s="483"/>
      <c r="H209" s="443"/>
    </row>
    <row r="210">
      <c r="A210" s="442"/>
      <c r="B210" s="442"/>
      <c r="G210" s="483"/>
      <c r="H210" s="443"/>
    </row>
    <row r="211">
      <c r="A211" s="442"/>
      <c r="B211" s="442"/>
      <c r="G211" s="483"/>
      <c r="H211" s="443"/>
    </row>
    <row r="212">
      <c r="A212" s="442"/>
      <c r="B212" s="442"/>
      <c r="G212" s="483"/>
      <c r="H212" s="443"/>
    </row>
    <row r="213">
      <c r="A213" s="442"/>
      <c r="B213" s="442"/>
      <c r="G213" s="483"/>
      <c r="H213" s="443"/>
    </row>
    <row r="214">
      <c r="A214" s="442"/>
      <c r="B214" s="442"/>
      <c r="G214" s="483"/>
      <c r="H214" s="443"/>
    </row>
    <row r="215">
      <c r="A215" s="442"/>
      <c r="B215" s="442"/>
      <c r="G215" s="483"/>
      <c r="H215" s="443"/>
    </row>
    <row r="216">
      <c r="A216" s="442"/>
      <c r="B216" s="442"/>
      <c r="G216" s="483"/>
      <c r="H216" s="443"/>
    </row>
    <row r="217">
      <c r="A217" s="442"/>
      <c r="B217" s="442"/>
      <c r="G217" s="483"/>
      <c r="H217" s="443"/>
    </row>
    <row r="218">
      <c r="A218" s="442"/>
      <c r="B218" s="442"/>
      <c r="G218" s="483"/>
      <c r="H218" s="443"/>
    </row>
    <row r="219">
      <c r="A219" s="442"/>
      <c r="B219" s="442"/>
      <c r="G219" s="483"/>
      <c r="H219" s="443"/>
    </row>
    <row r="220">
      <c r="A220" s="442"/>
      <c r="B220" s="442"/>
      <c r="G220" s="483"/>
      <c r="H220" s="443"/>
    </row>
    <row r="221">
      <c r="A221" s="442"/>
      <c r="B221" s="442"/>
      <c r="G221" s="483"/>
      <c r="H221" s="443"/>
    </row>
    <row r="222">
      <c r="A222" s="442"/>
      <c r="B222" s="442"/>
      <c r="G222" s="483"/>
      <c r="H222" s="443"/>
    </row>
    <row r="223">
      <c r="A223" s="442"/>
      <c r="B223" s="442"/>
      <c r="G223" s="483"/>
      <c r="H223" s="443"/>
    </row>
    <row r="224">
      <c r="A224" s="442"/>
      <c r="B224" s="442"/>
      <c r="G224" s="483"/>
      <c r="H224" s="443"/>
    </row>
    <row r="225">
      <c r="A225" s="442"/>
      <c r="B225" s="442"/>
      <c r="G225" s="483"/>
      <c r="H225" s="443"/>
    </row>
    <row r="226">
      <c r="A226" s="442"/>
      <c r="B226" s="442"/>
      <c r="G226" s="483"/>
      <c r="H226" s="443"/>
    </row>
    <row r="227">
      <c r="A227" s="442"/>
      <c r="B227" s="442"/>
      <c r="G227" s="483"/>
      <c r="H227" s="443"/>
    </row>
    <row r="228">
      <c r="A228" s="442"/>
      <c r="B228" s="442"/>
      <c r="G228" s="483"/>
      <c r="H228" s="443"/>
    </row>
    <row r="229">
      <c r="A229" s="442"/>
      <c r="B229" s="442"/>
      <c r="G229" s="483"/>
      <c r="H229" s="443"/>
    </row>
    <row r="230">
      <c r="A230" s="442"/>
      <c r="B230" s="442"/>
      <c r="G230" s="483"/>
      <c r="H230" s="443"/>
    </row>
    <row r="231">
      <c r="A231" s="442"/>
      <c r="B231" s="442"/>
      <c r="G231" s="483"/>
      <c r="H231" s="443"/>
    </row>
    <row r="232">
      <c r="A232" s="442"/>
      <c r="B232" s="442"/>
      <c r="G232" s="483"/>
      <c r="H232" s="443"/>
    </row>
    <row r="233">
      <c r="A233" s="442"/>
      <c r="B233" s="442"/>
      <c r="G233" s="483"/>
      <c r="H233" s="443"/>
    </row>
    <row r="234">
      <c r="A234" s="442"/>
      <c r="B234" s="442"/>
      <c r="G234" s="483"/>
      <c r="H234" s="443"/>
    </row>
    <row r="235">
      <c r="A235" s="442"/>
      <c r="B235" s="442"/>
      <c r="G235" s="483"/>
      <c r="H235" s="443"/>
    </row>
    <row r="236">
      <c r="A236" s="442"/>
      <c r="B236" s="442"/>
      <c r="G236" s="483"/>
      <c r="H236" s="443"/>
    </row>
    <row r="237">
      <c r="A237" s="442"/>
      <c r="B237" s="442"/>
      <c r="G237" s="483"/>
      <c r="H237" s="443"/>
    </row>
    <row r="238">
      <c r="A238" s="442"/>
      <c r="B238" s="442"/>
      <c r="G238" s="483"/>
      <c r="H238" s="443"/>
    </row>
    <row r="239">
      <c r="A239" s="442"/>
      <c r="B239" s="442"/>
      <c r="G239" s="483"/>
      <c r="H239" s="443"/>
    </row>
    <row r="240">
      <c r="A240" s="442"/>
      <c r="B240" s="442"/>
      <c r="G240" s="483"/>
      <c r="H240" s="443"/>
    </row>
    <row r="241">
      <c r="A241" s="442"/>
      <c r="B241" s="442"/>
      <c r="G241" s="483"/>
      <c r="H241" s="443"/>
    </row>
    <row r="242">
      <c r="A242" s="442"/>
      <c r="B242" s="442"/>
      <c r="G242" s="483"/>
      <c r="H242" s="443"/>
    </row>
    <row r="243">
      <c r="A243" s="442"/>
      <c r="B243" s="442"/>
      <c r="G243" s="483"/>
      <c r="H243" s="443"/>
    </row>
    <row r="244">
      <c r="A244" s="442"/>
      <c r="B244" s="442"/>
      <c r="G244" s="483"/>
      <c r="H244" s="443"/>
    </row>
    <row r="245">
      <c r="A245" s="442"/>
      <c r="B245" s="442"/>
      <c r="G245" s="483"/>
      <c r="H245" s="443"/>
    </row>
    <row r="246">
      <c r="A246" s="442"/>
      <c r="B246" s="442"/>
      <c r="G246" s="483"/>
      <c r="H246" s="443"/>
    </row>
    <row r="247">
      <c r="A247" s="442"/>
      <c r="B247" s="442"/>
      <c r="G247" s="483"/>
      <c r="H247" s="443"/>
    </row>
    <row r="248">
      <c r="A248" s="442"/>
      <c r="B248" s="442"/>
      <c r="G248" s="483"/>
      <c r="H248" s="443"/>
    </row>
    <row r="249">
      <c r="A249" s="442"/>
      <c r="B249" s="442"/>
      <c r="G249" s="483"/>
      <c r="H249" s="443"/>
    </row>
    <row r="250">
      <c r="A250" s="442"/>
      <c r="B250" s="442"/>
      <c r="G250" s="483"/>
      <c r="H250" s="443"/>
    </row>
    <row r="251">
      <c r="A251" s="442"/>
      <c r="B251" s="442"/>
      <c r="G251" s="483"/>
      <c r="H251" s="443"/>
    </row>
    <row r="252">
      <c r="A252" s="442"/>
      <c r="B252" s="442"/>
      <c r="G252" s="483"/>
      <c r="H252" s="443"/>
    </row>
    <row r="253">
      <c r="A253" s="442"/>
      <c r="B253" s="442"/>
      <c r="G253" s="483"/>
      <c r="H253" s="443"/>
    </row>
    <row r="254">
      <c r="A254" s="442"/>
      <c r="B254" s="442"/>
      <c r="G254" s="483"/>
      <c r="H254" s="443"/>
    </row>
    <row r="255">
      <c r="A255" s="442"/>
      <c r="B255" s="442"/>
      <c r="G255" s="483"/>
      <c r="H255" s="443"/>
    </row>
    <row r="256">
      <c r="A256" s="442"/>
      <c r="B256" s="442"/>
      <c r="G256" s="483"/>
      <c r="H256" s="443"/>
    </row>
    <row r="257">
      <c r="A257" s="442"/>
      <c r="B257" s="442"/>
      <c r="G257" s="483"/>
      <c r="H257" s="443"/>
    </row>
    <row r="258">
      <c r="A258" s="442"/>
      <c r="B258" s="442"/>
      <c r="G258" s="483"/>
      <c r="H258" s="443"/>
    </row>
    <row r="259">
      <c r="A259" s="442"/>
      <c r="B259" s="442"/>
      <c r="G259" s="483"/>
      <c r="H259" s="443"/>
    </row>
    <row r="260">
      <c r="A260" s="442"/>
      <c r="B260" s="442"/>
      <c r="G260" s="483"/>
      <c r="H260" s="443"/>
    </row>
    <row r="261">
      <c r="A261" s="442"/>
      <c r="B261" s="442"/>
      <c r="G261" s="483"/>
      <c r="H261" s="443"/>
    </row>
    <row r="262">
      <c r="A262" s="442"/>
      <c r="B262" s="442"/>
      <c r="G262" s="483"/>
      <c r="H262" s="443"/>
    </row>
    <row r="263">
      <c r="A263" s="442"/>
      <c r="B263" s="442"/>
      <c r="G263" s="483"/>
      <c r="H263" s="443"/>
    </row>
    <row r="264">
      <c r="A264" s="442"/>
      <c r="B264" s="442"/>
      <c r="G264" s="483"/>
      <c r="H264" s="443"/>
    </row>
    <row r="265">
      <c r="A265" s="442"/>
      <c r="B265" s="442"/>
      <c r="G265" s="483"/>
      <c r="H265" s="443"/>
    </row>
    <row r="266">
      <c r="A266" s="442"/>
      <c r="B266" s="442"/>
      <c r="G266" s="483"/>
      <c r="H266" s="443"/>
    </row>
    <row r="267">
      <c r="A267" s="442"/>
      <c r="B267" s="442"/>
      <c r="G267" s="483"/>
      <c r="H267" s="443"/>
    </row>
    <row r="268">
      <c r="A268" s="442"/>
      <c r="B268" s="442"/>
      <c r="G268" s="483"/>
      <c r="H268" s="443"/>
    </row>
    <row r="269">
      <c r="A269" s="442"/>
      <c r="B269" s="442"/>
      <c r="G269" s="483"/>
      <c r="H269" s="443"/>
    </row>
    <row r="270">
      <c r="A270" s="442"/>
      <c r="B270" s="442"/>
      <c r="G270" s="483"/>
      <c r="H270" s="443"/>
    </row>
    <row r="271">
      <c r="A271" s="442"/>
      <c r="B271" s="442"/>
      <c r="G271" s="483"/>
      <c r="H271" s="443"/>
    </row>
    <row r="272">
      <c r="A272" s="442"/>
      <c r="B272" s="442"/>
      <c r="G272" s="483"/>
      <c r="H272" s="443"/>
    </row>
    <row r="273">
      <c r="A273" s="442"/>
      <c r="B273" s="442"/>
      <c r="G273" s="483"/>
      <c r="H273" s="443"/>
    </row>
    <row r="274">
      <c r="A274" s="442"/>
      <c r="B274" s="442"/>
      <c r="G274" s="483"/>
      <c r="H274" s="443"/>
    </row>
    <row r="275">
      <c r="A275" s="442"/>
      <c r="B275" s="442"/>
      <c r="G275" s="483"/>
      <c r="H275" s="443"/>
    </row>
    <row r="276">
      <c r="A276" s="442"/>
      <c r="B276" s="442"/>
      <c r="G276" s="483"/>
      <c r="H276" s="443"/>
    </row>
    <row r="277">
      <c r="A277" s="442"/>
      <c r="B277" s="442"/>
      <c r="G277" s="483"/>
      <c r="H277" s="443"/>
    </row>
    <row r="278">
      <c r="A278" s="442"/>
      <c r="B278" s="442"/>
      <c r="G278" s="483"/>
      <c r="H278" s="443"/>
    </row>
    <row r="279">
      <c r="A279" s="442"/>
      <c r="B279" s="442"/>
      <c r="G279" s="483"/>
      <c r="H279" s="443"/>
    </row>
    <row r="280">
      <c r="A280" s="442"/>
      <c r="B280" s="442"/>
      <c r="G280" s="483"/>
      <c r="H280" s="443"/>
    </row>
    <row r="281">
      <c r="A281" s="442"/>
      <c r="B281" s="442"/>
      <c r="G281" s="483"/>
      <c r="H281" s="443"/>
    </row>
    <row r="282">
      <c r="A282" s="442"/>
      <c r="B282" s="442"/>
      <c r="G282" s="483"/>
      <c r="H282" s="443"/>
    </row>
    <row r="283">
      <c r="A283" s="442"/>
      <c r="B283" s="442"/>
      <c r="G283" s="483"/>
      <c r="H283" s="443"/>
    </row>
    <row r="284">
      <c r="A284" s="442"/>
      <c r="B284" s="442"/>
      <c r="G284" s="483"/>
      <c r="H284" s="443"/>
    </row>
    <row r="285">
      <c r="A285" s="442"/>
      <c r="B285" s="442"/>
      <c r="G285" s="483"/>
      <c r="H285" s="443"/>
    </row>
    <row r="286">
      <c r="A286" s="442"/>
      <c r="B286" s="442"/>
      <c r="G286" s="483"/>
      <c r="H286" s="443"/>
    </row>
    <row r="287">
      <c r="A287" s="442"/>
      <c r="B287" s="442"/>
      <c r="G287" s="483"/>
      <c r="H287" s="443"/>
    </row>
    <row r="288">
      <c r="A288" s="442"/>
      <c r="B288" s="442"/>
      <c r="G288" s="483"/>
      <c r="H288" s="443"/>
    </row>
    <row r="289">
      <c r="A289" s="442"/>
      <c r="B289" s="442"/>
      <c r="G289" s="483"/>
      <c r="H289" s="443"/>
    </row>
    <row r="290">
      <c r="A290" s="442"/>
      <c r="B290" s="442"/>
      <c r="G290" s="483"/>
      <c r="H290" s="443"/>
    </row>
    <row r="291">
      <c r="A291" s="442"/>
      <c r="B291" s="442"/>
      <c r="G291" s="483"/>
      <c r="H291" s="443"/>
    </row>
    <row r="292">
      <c r="A292" s="442"/>
      <c r="B292" s="442"/>
      <c r="G292" s="483"/>
      <c r="H292" s="443"/>
    </row>
    <row r="293">
      <c r="A293" s="442"/>
      <c r="B293" s="442"/>
      <c r="G293" s="483"/>
      <c r="H293" s="443"/>
    </row>
    <row r="294">
      <c r="A294" s="442"/>
      <c r="B294" s="442"/>
      <c r="G294" s="483"/>
      <c r="H294" s="443"/>
    </row>
    <row r="295">
      <c r="A295" s="442"/>
      <c r="B295" s="442"/>
      <c r="G295" s="483"/>
      <c r="H295" s="443"/>
    </row>
    <row r="296">
      <c r="A296" s="442"/>
      <c r="B296" s="442"/>
      <c r="G296" s="483"/>
      <c r="H296" s="443"/>
    </row>
    <row r="297">
      <c r="A297" s="442"/>
      <c r="B297" s="442"/>
      <c r="G297" s="483"/>
      <c r="H297" s="443"/>
    </row>
    <row r="298">
      <c r="A298" s="442"/>
      <c r="B298" s="442"/>
      <c r="G298" s="483"/>
      <c r="H298" s="443"/>
    </row>
    <row r="299">
      <c r="A299" s="442"/>
      <c r="B299" s="442"/>
      <c r="G299" s="483"/>
      <c r="H299" s="443"/>
    </row>
    <row r="300">
      <c r="A300" s="442"/>
      <c r="B300" s="442"/>
      <c r="G300" s="483"/>
      <c r="H300" s="443"/>
    </row>
    <row r="301">
      <c r="A301" s="442"/>
      <c r="B301" s="442"/>
      <c r="G301" s="483"/>
      <c r="H301" s="443"/>
    </row>
    <row r="302">
      <c r="A302" s="442"/>
      <c r="B302" s="442"/>
      <c r="G302" s="483"/>
      <c r="H302" s="443"/>
    </row>
    <row r="303">
      <c r="A303" s="442"/>
      <c r="B303" s="442"/>
      <c r="G303" s="483"/>
      <c r="H303" s="443"/>
    </row>
    <row r="304">
      <c r="A304" s="442"/>
      <c r="B304" s="442"/>
      <c r="G304" s="483"/>
      <c r="H304" s="443"/>
    </row>
    <row r="305">
      <c r="A305" s="442"/>
      <c r="B305" s="442"/>
      <c r="G305" s="483"/>
      <c r="H305" s="443"/>
    </row>
    <row r="306">
      <c r="A306" s="442"/>
      <c r="B306" s="442"/>
      <c r="G306" s="483"/>
      <c r="H306" s="443"/>
    </row>
    <row r="307">
      <c r="A307" s="442"/>
      <c r="B307" s="442"/>
      <c r="G307" s="483"/>
      <c r="H307" s="443"/>
    </row>
    <row r="308">
      <c r="A308" s="442"/>
      <c r="B308" s="442"/>
      <c r="G308" s="483"/>
      <c r="H308" s="443"/>
    </row>
    <row r="309">
      <c r="A309" s="442"/>
      <c r="B309" s="442"/>
      <c r="G309" s="483"/>
      <c r="H309" s="443"/>
    </row>
    <row r="310">
      <c r="A310" s="442"/>
      <c r="B310" s="442"/>
      <c r="G310" s="483"/>
      <c r="H310" s="443"/>
    </row>
    <row r="311">
      <c r="A311" s="442"/>
      <c r="B311" s="442"/>
      <c r="G311" s="483"/>
      <c r="H311" s="443"/>
    </row>
    <row r="312">
      <c r="A312" s="442"/>
      <c r="B312" s="442"/>
      <c r="G312" s="483"/>
      <c r="H312" s="443"/>
    </row>
    <row r="313">
      <c r="A313" s="442"/>
      <c r="B313" s="442"/>
      <c r="G313" s="483"/>
      <c r="H313" s="443"/>
    </row>
    <row r="314">
      <c r="A314" s="442"/>
      <c r="B314" s="442"/>
      <c r="G314" s="483"/>
      <c r="H314" s="443"/>
    </row>
    <row r="315">
      <c r="A315" s="442"/>
      <c r="B315" s="442"/>
      <c r="G315" s="483"/>
      <c r="H315" s="443"/>
    </row>
    <row r="316">
      <c r="A316" s="442"/>
      <c r="B316" s="442"/>
      <c r="G316" s="483"/>
      <c r="H316" s="443"/>
    </row>
    <row r="317">
      <c r="A317" s="442"/>
      <c r="B317" s="442"/>
      <c r="G317" s="483"/>
      <c r="H317" s="443"/>
    </row>
    <row r="318">
      <c r="A318" s="442"/>
      <c r="B318" s="442"/>
      <c r="G318" s="483"/>
      <c r="H318" s="443"/>
    </row>
    <row r="319">
      <c r="A319" s="442"/>
      <c r="B319" s="442"/>
      <c r="G319" s="483"/>
      <c r="H319" s="443"/>
    </row>
    <row r="320">
      <c r="A320" s="442"/>
      <c r="B320" s="442"/>
      <c r="G320" s="483"/>
      <c r="H320" s="443"/>
    </row>
    <row r="321">
      <c r="A321" s="442"/>
      <c r="B321" s="442"/>
      <c r="G321" s="483"/>
      <c r="H321" s="443"/>
    </row>
    <row r="322">
      <c r="A322" s="442"/>
      <c r="B322" s="442"/>
      <c r="G322" s="483"/>
      <c r="H322" s="443"/>
    </row>
    <row r="323">
      <c r="A323" s="442"/>
      <c r="B323" s="442"/>
      <c r="G323" s="483"/>
      <c r="H323" s="443"/>
    </row>
    <row r="324">
      <c r="A324" s="442"/>
      <c r="B324" s="442"/>
      <c r="G324" s="483"/>
      <c r="H324" s="443"/>
    </row>
    <row r="325">
      <c r="A325" s="442"/>
      <c r="B325" s="442"/>
      <c r="G325" s="483"/>
      <c r="H325" s="443"/>
    </row>
    <row r="326">
      <c r="A326" s="442"/>
      <c r="B326" s="442"/>
      <c r="G326" s="483"/>
      <c r="H326" s="443"/>
    </row>
    <row r="327">
      <c r="A327" s="442"/>
      <c r="B327" s="442"/>
      <c r="G327" s="483"/>
      <c r="H327" s="443"/>
    </row>
    <row r="328">
      <c r="A328" s="442"/>
      <c r="B328" s="442"/>
      <c r="G328" s="483"/>
      <c r="H328" s="443"/>
    </row>
    <row r="329">
      <c r="A329" s="442"/>
      <c r="B329" s="442"/>
      <c r="G329" s="483"/>
      <c r="H329" s="443"/>
    </row>
    <row r="330">
      <c r="A330" s="442"/>
      <c r="B330" s="442"/>
      <c r="G330" s="483"/>
      <c r="H330" s="443"/>
    </row>
    <row r="331">
      <c r="A331" s="442"/>
      <c r="B331" s="442"/>
      <c r="G331" s="483"/>
      <c r="H331" s="443"/>
    </row>
    <row r="332">
      <c r="A332" s="442"/>
      <c r="B332" s="442"/>
      <c r="G332" s="483"/>
      <c r="H332" s="443"/>
    </row>
    <row r="333">
      <c r="A333" s="442"/>
      <c r="B333" s="442"/>
      <c r="G333" s="483"/>
      <c r="H333" s="443"/>
    </row>
    <row r="334">
      <c r="A334" s="442"/>
      <c r="B334" s="442"/>
      <c r="G334" s="483"/>
      <c r="H334" s="443"/>
    </row>
    <row r="335">
      <c r="A335" s="442"/>
      <c r="B335" s="442"/>
      <c r="G335" s="483"/>
      <c r="H335" s="443"/>
    </row>
    <row r="336">
      <c r="A336" s="442"/>
      <c r="B336" s="442"/>
      <c r="G336" s="483"/>
      <c r="H336" s="443"/>
    </row>
    <row r="337">
      <c r="A337" s="442"/>
      <c r="B337" s="442"/>
      <c r="G337" s="483"/>
      <c r="H337" s="443"/>
    </row>
    <row r="338">
      <c r="A338" s="442"/>
      <c r="B338" s="442"/>
      <c r="G338" s="483"/>
      <c r="H338" s="443"/>
    </row>
    <row r="339">
      <c r="A339" s="442"/>
      <c r="B339" s="442"/>
      <c r="G339" s="483"/>
      <c r="H339" s="443"/>
    </row>
    <row r="340">
      <c r="A340" s="442"/>
      <c r="B340" s="442"/>
      <c r="G340" s="483"/>
      <c r="H340" s="443"/>
    </row>
    <row r="341">
      <c r="A341" s="442"/>
      <c r="B341" s="442"/>
      <c r="G341" s="483"/>
      <c r="H341" s="443"/>
    </row>
    <row r="342">
      <c r="A342" s="442"/>
      <c r="B342" s="442"/>
      <c r="G342" s="483"/>
      <c r="H342" s="443"/>
    </row>
    <row r="343">
      <c r="A343" s="442"/>
      <c r="B343" s="442"/>
      <c r="G343" s="483"/>
      <c r="H343" s="443"/>
    </row>
    <row r="344">
      <c r="A344" s="442"/>
      <c r="B344" s="442"/>
      <c r="G344" s="483"/>
      <c r="H344" s="443"/>
    </row>
    <row r="345">
      <c r="A345" s="442"/>
      <c r="B345" s="442"/>
      <c r="G345" s="483"/>
      <c r="H345" s="443"/>
    </row>
    <row r="346">
      <c r="A346" s="442"/>
      <c r="B346" s="442"/>
      <c r="G346" s="483"/>
      <c r="H346" s="443"/>
    </row>
    <row r="347">
      <c r="A347" s="442"/>
      <c r="B347" s="442"/>
      <c r="G347" s="483"/>
      <c r="H347" s="443"/>
    </row>
    <row r="348">
      <c r="A348" s="442"/>
      <c r="B348" s="442"/>
      <c r="G348" s="483"/>
      <c r="H348" s="443"/>
    </row>
    <row r="349">
      <c r="A349" s="442"/>
      <c r="B349" s="442"/>
      <c r="G349" s="483"/>
      <c r="H349" s="443"/>
    </row>
    <row r="350">
      <c r="A350" s="442"/>
      <c r="B350" s="442"/>
      <c r="G350" s="483"/>
      <c r="H350" s="443"/>
    </row>
    <row r="351">
      <c r="A351" s="442"/>
      <c r="B351" s="442"/>
      <c r="G351" s="483"/>
      <c r="H351" s="443"/>
    </row>
    <row r="352">
      <c r="A352" s="442"/>
      <c r="B352" s="442"/>
      <c r="G352" s="483"/>
      <c r="H352" s="443"/>
    </row>
    <row r="353">
      <c r="A353" s="442"/>
      <c r="B353" s="442"/>
      <c r="G353" s="483"/>
      <c r="H353" s="443"/>
    </row>
    <row r="354">
      <c r="A354" s="442"/>
      <c r="B354" s="442"/>
      <c r="G354" s="483"/>
      <c r="H354" s="443"/>
    </row>
    <row r="355">
      <c r="A355" s="442"/>
      <c r="B355" s="442"/>
      <c r="G355" s="483"/>
      <c r="H355" s="443"/>
    </row>
    <row r="356">
      <c r="A356" s="442"/>
      <c r="B356" s="442"/>
      <c r="G356" s="483"/>
      <c r="H356" s="443"/>
    </row>
    <row r="357">
      <c r="A357" s="442"/>
      <c r="B357" s="442"/>
      <c r="G357" s="483"/>
      <c r="H357" s="443"/>
    </row>
    <row r="358">
      <c r="A358" s="442"/>
      <c r="B358" s="442"/>
      <c r="G358" s="483"/>
      <c r="H358" s="443"/>
    </row>
    <row r="359">
      <c r="A359" s="442"/>
      <c r="B359" s="442"/>
      <c r="G359" s="483"/>
      <c r="H359" s="443"/>
    </row>
    <row r="360">
      <c r="A360" s="442"/>
      <c r="B360" s="442"/>
      <c r="G360" s="483"/>
      <c r="H360" s="443"/>
    </row>
    <row r="361">
      <c r="A361" s="442"/>
      <c r="B361" s="442"/>
      <c r="G361" s="483"/>
      <c r="H361" s="443"/>
    </row>
    <row r="362">
      <c r="A362" s="442"/>
      <c r="B362" s="442"/>
      <c r="G362" s="483"/>
      <c r="H362" s="443"/>
    </row>
    <row r="363">
      <c r="A363" s="442"/>
      <c r="B363" s="442"/>
      <c r="G363" s="483"/>
      <c r="H363" s="443"/>
    </row>
    <row r="364">
      <c r="A364" s="442"/>
      <c r="B364" s="442"/>
      <c r="G364" s="483"/>
      <c r="H364" s="443"/>
    </row>
    <row r="365">
      <c r="A365" s="442"/>
      <c r="B365" s="442"/>
      <c r="G365" s="483"/>
      <c r="H365" s="443"/>
    </row>
    <row r="366">
      <c r="A366" s="442"/>
      <c r="B366" s="442"/>
      <c r="G366" s="483"/>
      <c r="H366" s="443"/>
    </row>
    <row r="367">
      <c r="A367" s="442"/>
      <c r="B367" s="442"/>
      <c r="G367" s="483"/>
      <c r="H367" s="443"/>
    </row>
    <row r="368">
      <c r="A368" s="442"/>
      <c r="B368" s="442"/>
      <c r="G368" s="483"/>
      <c r="H368" s="443"/>
    </row>
    <row r="369">
      <c r="A369" s="442"/>
      <c r="B369" s="442"/>
      <c r="G369" s="483"/>
      <c r="H369" s="443"/>
    </row>
    <row r="370">
      <c r="A370" s="442"/>
      <c r="B370" s="442"/>
      <c r="G370" s="483"/>
      <c r="H370" s="443"/>
    </row>
    <row r="371">
      <c r="A371" s="442"/>
      <c r="B371" s="442"/>
      <c r="G371" s="483"/>
      <c r="H371" s="443"/>
    </row>
    <row r="372">
      <c r="A372" s="442"/>
      <c r="B372" s="442"/>
      <c r="G372" s="483"/>
      <c r="H372" s="443"/>
    </row>
    <row r="373">
      <c r="A373" s="442"/>
      <c r="B373" s="442"/>
      <c r="G373" s="483"/>
      <c r="H373" s="443"/>
    </row>
    <row r="374">
      <c r="A374" s="442"/>
      <c r="B374" s="442"/>
      <c r="G374" s="483"/>
      <c r="H374" s="443"/>
    </row>
    <row r="375">
      <c r="A375" s="442"/>
      <c r="B375" s="442"/>
      <c r="G375" s="483"/>
      <c r="H375" s="443"/>
    </row>
    <row r="376">
      <c r="A376" s="442"/>
      <c r="B376" s="442"/>
      <c r="G376" s="483"/>
      <c r="H376" s="443"/>
    </row>
    <row r="377">
      <c r="A377" s="442"/>
      <c r="B377" s="442"/>
      <c r="G377" s="483"/>
      <c r="H377" s="443"/>
    </row>
    <row r="378">
      <c r="A378" s="442"/>
      <c r="B378" s="442"/>
      <c r="G378" s="483"/>
      <c r="H378" s="443"/>
    </row>
    <row r="379">
      <c r="A379" s="442"/>
      <c r="B379" s="442"/>
      <c r="G379" s="483"/>
      <c r="H379" s="443"/>
    </row>
    <row r="380">
      <c r="A380" s="442"/>
      <c r="B380" s="442"/>
      <c r="G380" s="483"/>
      <c r="H380" s="443"/>
    </row>
    <row r="381">
      <c r="A381" s="442"/>
      <c r="B381" s="442"/>
      <c r="G381" s="483"/>
      <c r="H381" s="443"/>
    </row>
    <row r="382">
      <c r="A382" s="442"/>
      <c r="B382" s="442"/>
      <c r="G382" s="483"/>
      <c r="H382" s="443"/>
    </row>
    <row r="383">
      <c r="A383" s="442"/>
      <c r="B383" s="442"/>
      <c r="G383" s="483"/>
      <c r="H383" s="443"/>
    </row>
    <row r="384">
      <c r="A384" s="442"/>
      <c r="B384" s="442"/>
      <c r="G384" s="483"/>
      <c r="H384" s="443"/>
    </row>
    <row r="385">
      <c r="A385" s="442"/>
      <c r="B385" s="442"/>
      <c r="G385" s="483"/>
      <c r="H385" s="443"/>
    </row>
    <row r="386">
      <c r="A386" s="442"/>
      <c r="B386" s="442"/>
      <c r="G386" s="483"/>
      <c r="H386" s="443"/>
    </row>
    <row r="387">
      <c r="A387" s="442"/>
      <c r="B387" s="442"/>
      <c r="G387" s="483"/>
      <c r="H387" s="443"/>
    </row>
    <row r="388">
      <c r="A388" s="442"/>
      <c r="B388" s="442"/>
      <c r="G388" s="483"/>
      <c r="H388" s="443"/>
    </row>
    <row r="389">
      <c r="A389" s="442"/>
      <c r="B389" s="442"/>
      <c r="G389" s="483"/>
      <c r="H389" s="443"/>
    </row>
    <row r="390">
      <c r="A390" s="442"/>
      <c r="B390" s="442"/>
      <c r="G390" s="483"/>
      <c r="H390" s="443"/>
    </row>
    <row r="391">
      <c r="A391" s="442"/>
      <c r="B391" s="442"/>
      <c r="G391" s="483"/>
      <c r="H391" s="443"/>
    </row>
    <row r="392">
      <c r="A392" s="442"/>
      <c r="B392" s="442"/>
      <c r="G392" s="483"/>
      <c r="H392" s="443"/>
    </row>
    <row r="393">
      <c r="A393" s="442"/>
      <c r="B393" s="442"/>
      <c r="G393" s="483"/>
      <c r="H393" s="443"/>
    </row>
    <row r="394">
      <c r="A394" s="442"/>
      <c r="B394" s="442"/>
      <c r="G394" s="483"/>
      <c r="H394" s="443"/>
    </row>
    <row r="395">
      <c r="A395" s="442"/>
      <c r="B395" s="442"/>
      <c r="G395" s="483"/>
      <c r="H395" s="443"/>
    </row>
    <row r="396">
      <c r="A396" s="442"/>
      <c r="B396" s="442"/>
      <c r="G396" s="483"/>
      <c r="H396" s="443"/>
    </row>
    <row r="397">
      <c r="A397" s="442"/>
      <c r="B397" s="442"/>
      <c r="G397" s="483"/>
      <c r="H397" s="443"/>
    </row>
    <row r="398">
      <c r="A398" s="442"/>
      <c r="B398" s="442"/>
      <c r="G398" s="483"/>
      <c r="H398" s="443"/>
    </row>
    <row r="399">
      <c r="A399" s="442"/>
      <c r="B399" s="442"/>
      <c r="G399" s="483"/>
      <c r="H399" s="443"/>
    </row>
    <row r="400">
      <c r="A400" s="442"/>
      <c r="B400" s="442"/>
      <c r="G400" s="483"/>
      <c r="H400" s="443"/>
    </row>
    <row r="401">
      <c r="A401" s="442"/>
      <c r="B401" s="442"/>
      <c r="G401" s="483"/>
      <c r="H401" s="443"/>
    </row>
    <row r="402">
      <c r="A402" s="442"/>
      <c r="B402" s="442"/>
      <c r="G402" s="483"/>
      <c r="H402" s="443"/>
    </row>
    <row r="403">
      <c r="A403" s="442"/>
      <c r="B403" s="442"/>
      <c r="G403" s="483"/>
      <c r="H403" s="443"/>
    </row>
    <row r="404">
      <c r="A404" s="442"/>
      <c r="B404" s="442"/>
      <c r="G404" s="483"/>
      <c r="H404" s="443"/>
    </row>
    <row r="405">
      <c r="A405" s="442"/>
      <c r="B405" s="442"/>
      <c r="G405" s="483"/>
      <c r="H405" s="443"/>
    </row>
    <row r="406">
      <c r="A406" s="442"/>
      <c r="B406" s="442"/>
      <c r="G406" s="483"/>
      <c r="H406" s="443"/>
    </row>
    <row r="407">
      <c r="A407" s="442"/>
      <c r="B407" s="442"/>
      <c r="G407" s="483"/>
      <c r="H407" s="443"/>
    </row>
    <row r="408">
      <c r="A408" s="442"/>
      <c r="B408" s="442"/>
      <c r="G408" s="483"/>
      <c r="H408" s="443"/>
    </row>
    <row r="409">
      <c r="A409" s="442"/>
      <c r="B409" s="442"/>
      <c r="G409" s="483"/>
      <c r="H409" s="443"/>
    </row>
    <row r="410">
      <c r="A410" s="442"/>
      <c r="B410" s="442"/>
      <c r="G410" s="483"/>
      <c r="H410" s="443"/>
    </row>
    <row r="411">
      <c r="A411" s="442"/>
      <c r="B411" s="442"/>
      <c r="G411" s="483"/>
      <c r="H411" s="443"/>
    </row>
    <row r="412">
      <c r="A412" s="442"/>
      <c r="B412" s="442"/>
      <c r="G412" s="483"/>
      <c r="H412" s="443"/>
    </row>
    <row r="413">
      <c r="A413" s="442"/>
      <c r="B413" s="442"/>
      <c r="G413" s="483"/>
      <c r="H413" s="443"/>
    </row>
    <row r="414">
      <c r="A414" s="442"/>
      <c r="B414" s="442"/>
      <c r="G414" s="483"/>
      <c r="H414" s="443"/>
    </row>
    <row r="415">
      <c r="A415" s="442"/>
      <c r="B415" s="442"/>
      <c r="G415" s="483"/>
      <c r="H415" s="443"/>
    </row>
    <row r="416">
      <c r="A416" s="442"/>
      <c r="B416" s="442"/>
      <c r="G416" s="483"/>
      <c r="H416" s="443"/>
    </row>
    <row r="417">
      <c r="A417" s="442"/>
      <c r="B417" s="442"/>
      <c r="G417" s="483"/>
      <c r="H417" s="443"/>
    </row>
    <row r="418">
      <c r="A418" s="442"/>
      <c r="B418" s="442"/>
      <c r="G418" s="483"/>
      <c r="H418" s="443"/>
    </row>
    <row r="419">
      <c r="A419" s="442"/>
      <c r="B419" s="442"/>
      <c r="G419" s="483"/>
      <c r="H419" s="443"/>
    </row>
    <row r="420">
      <c r="A420" s="442"/>
      <c r="B420" s="442"/>
      <c r="G420" s="483"/>
      <c r="H420" s="443"/>
    </row>
    <row r="421">
      <c r="A421" s="442"/>
      <c r="B421" s="442"/>
      <c r="G421" s="483"/>
      <c r="H421" s="443"/>
    </row>
    <row r="422">
      <c r="A422" s="442"/>
      <c r="B422" s="442"/>
      <c r="G422" s="483"/>
      <c r="H422" s="443"/>
    </row>
    <row r="423">
      <c r="A423" s="442"/>
      <c r="B423" s="442"/>
      <c r="G423" s="483"/>
      <c r="H423" s="443"/>
    </row>
    <row r="424">
      <c r="A424" s="442"/>
      <c r="B424" s="442"/>
      <c r="G424" s="483"/>
      <c r="H424" s="443"/>
    </row>
    <row r="425">
      <c r="A425" s="442"/>
      <c r="B425" s="442"/>
      <c r="G425" s="483"/>
      <c r="H425" s="443"/>
    </row>
    <row r="426">
      <c r="A426" s="442"/>
      <c r="B426" s="442"/>
      <c r="G426" s="483"/>
      <c r="H426" s="443"/>
    </row>
    <row r="427">
      <c r="A427" s="442"/>
      <c r="B427" s="442"/>
      <c r="G427" s="483"/>
      <c r="H427" s="443"/>
    </row>
    <row r="428">
      <c r="A428" s="442"/>
      <c r="B428" s="442"/>
      <c r="G428" s="483"/>
      <c r="H428" s="443"/>
    </row>
    <row r="429">
      <c r="A429" s="442"/>
      <c r="B429" s="442"/>
      <c r="G429" s="483"/>
      <c r="H429" s="443"/>
    </row>
    <row r="430">
      <c r="A430" s="442"/>
      <c r="B430" s="442"/>
      <c r="G430" s="483"/>
      <c r="H430" s="443"/>
    </row>
    <row r="431">
      <c r="A431" s="442"/>
      <c r="B431" s="442"/>
      <c r="G431" s="483"/>
      <c r="H431" s="443"/>
    </row>
    <row r="432">
      <c r="A432" s="442"/>
      <c r="B432" s="442"/>
      <c r="G432" s="483"/>
      <c r="H432" s="443"/>
    </row>
    <row r="433">
      <c r="A433" s="442"/>
      <c r="B433" s="442"/>
      <c r="G433" s="483"/>
      <c r="H433" s="443"/>
    </row>
    <row r="434">
      <c r="A434" s="442"/>
      <c r="B434" s="442"/>
      <c r="G434" s="483"/>
      <c r="H434" s="443"/>
    </row>
    <row r="435">
      <c r="A435" s="442"/>
      <c r="B435" s="442"/>
      <c r="G435" s="483"/>
      <c r="H435" s="443"/>
    </row>
    <row r="436">
      <c r="A436" s="442"/>
      <c r="B436" s="442"/>
      <c r="G436" s="483"/>
      <c r="H436" s="443"/>
    </row>
    <row r="437">
      <c r="A437" s="442"/>
      <c r="B437" s="442"/>
      <c r="G437" s="483"/>
      <c r="H437" s="443"/>
    </row>
    <row r="438">
      <c r="A438" s="442"/>
      <c r="B438" s="442"/>
      <c r="G438" s="483"/>
      <c r="H438" s="443"/>
    </row>
    <row r="439">
      <c r="A439" s="442"/>
      <c r="B439" s="442"/>
      <c r="G439" s="483"/>
      <c r="H439" s="443"/>
    </row>
    <row r="440">
      <c r="A440" s="442"/>
      <c r="B440" s="442"/>
      <c r="G440" s="483"/>
      <c r="H440" s="443"/>
    </row>
    <row r="441">
      <c r="A441" s="442"/>
      <c r="B441" s="442"/>
      <c r="G441" s="483"/>
      <c r="H441" s="443"/>
    </row>
    <row r="442">
      <c r="A442" s="442"/>
      <c r="B442" s="442"/>
      <c r="G442" s="483"/>
      <c r="H442" s="443"/>
    </row>
    <row r="443">
      <c r="A443" s="442"/>
      <c r="B443" s="442"/>
      <c r="G443" s="483"/>
      <c r="H443" s="443"/>
    </row>
    <row r="444">
      <c r="A444" s="442"/>
      <c r="B444" s="442"/>
      <c r="G444" s="483"/>
      <c r="H444" s="443"/>
    </row>
    <row r="445">
      <c r="A445" s="442"/>
      <c r="B445" s="442"/>
      <c r="G445" s="483"/>
      <c r="H445" s="443"/>
    </row>
    <row r="446">
      <c r="A446" s="442"/>
      <c r="B446" s="442"/>
      <c r="G446" s="483"/>
      <c r="H446" s="443"/>
    </row>
    <row r="447">
      <c r="A447" s="442"/>
      <c r="B447" s="442"/>
      <c r="G447" s="483"/>
      <c r="H447" s="443"/>
    </row>
    <row r="448">
      <c r="A448" s="442"/>
      <c r="B448" s="442"/>
      <c r="G448" s="483"/>
      <c r="H448" s="443"/>
    </row>
    <row r="449">
      <c r="A449" s="442"/>
      <c r="B449" s="442"/>
      <c r="G449" s="483"/>
      <c r="H449" s="443"/>
    </row>
    <row r="450">
      <c r="A450" s="442"/>
      <c r="B450" s="442"/>
      <c r="G450" s="483"/>
      <c r="H450" s="443"/>
    </row>
    <row r="451">
      <c r="A451" s="442"/>
      <c r="B451" s="442"/>
      <c r="G451" s="483"/>
      <c r="H451" s="443"/>
    </row>
    <row r="452">
      <c r="A452" s="442"/>
      <c r="B452" s="442"/>
      <c r="G452" s="483"/>
      <c r="H452" s="443"/>
    </row>
    <row r="453">
      <c r="A453" s="442"/>
      <c r="B453" s="442"/>
      <c r="G453" s="483"/>
      <c r="H453" s="443"/>
    </row>
    <row r="454">
      <c r="A454" s="442"/>
      <c r="B454" s="442"/>
      <c r="G454" s="483"/>
      <c r="H454" s="443"/>
    </row>
    <row r="455">
      <c r="A455" s="442"/>
      <c r="B455" s="442"/>
      <c r="G455" s="483"/>
      <c r="H455" s="443"/>
    </row>
    <row r="456">
      <c r="A456" s="442"/>
      <c r="B456" s="442"/>
      <c r="G456" s="483"/>
      <c r="H456" s="443"/>
    </row>
    <row r="457">
      <c r="A457" s="442"/>
      <c r="B457" s="442"/>
      <c r="G457" s="483"/>
      <c r="H457" s="443"/>
    </row>
    <row r="458">
      <c r="A458" s="442"/>
      <c r="B458" s="442"/>
      <c r="G458" s="483"/>
      <c r="H458" s="443"/>
    </row>
    <row r="459">
      <c r="A459" s="442"/>
      <c r="B459" s="442"/>
      <c r="G459" s="483"/>
      <c r="H459" s="443"/>
    </row>
    <row r="460">
      <c r="A460" s="442"/>
      <c r="B460" s="442"/>
      <c r="G460" s="483"/>
      <c r="H460" s="443"/>
    </row>
    <row r="461">
      <c r="A461" s="442"/>
      <c r="B461" s="442"/>
      <c r="G461" s="483"/>
      <c r="H461" s="443"/>
    </row>
    <row r="462">
      <c r="A462" s="442"/>
      <c r="B462" s="442"/>
      <c r="G462" s="483"/>
      <c r="H462" s="443"/>
    </row>
    <row r="463">
      <c r="A463" s="442"/>
      <c r="B463" s="442"/>
      <c r="G463" s="483"/>
      <c r="H463" s="443"/>
    </row>
    <row r="464">
      <c r="A464" s="442"/>
      <c r="B464" s="442"/>
      <c r="G464" s="483"/>
      <c r="H464" s="443"/>
    </row>
    <row r="465">
      <c r="A465" s="442"/>
      <c r="B465" s="442"/>
      <c r="G465" s="483"/>
      <c r="H465" s="443"/>
    </row>
    <row r="466">
      <c r="A466" s="442"/>
      <c r="B466" s="442"/>
      <c r="G466" s="483"/>
      <c r="H466" s="443"/>
    </row>
    <row r="467">
      <c r="A467" s="442"/>
      <c r="B467" s="442"/>
      <c r="G467" s="483"/>
      <c r="H467" s="443"/>
    </row>
    <row r="468">
      <c r="A468" s="442"/>
      <c r="B468" s="442"/>
      <c r="G468" s="483"/>
      <c r="H468" s="443"/>
    </row>
    <row r="469">
      <c r="A469" s="442"/>
      <c r="B469" s="442"/>
      <c r="G469" s="483"/>
      <c r="H469" s="443"/>
    </row>
    <row r="470">
      <c r="A470" s="442"/>
      <c r="B470" s="442"/>
      <c r="G470" s="483"/>
      <c r="H470" s="443"/>
    </row>
    <row r="471">
      <c r="A471" s="442"/>
      <c r="B471" s="442"/>
      <c r="G471" s="483"/>
      <c r="H471" s="443"/>
    </row>
    <row r="472">
      <c r="A472" s="442"/>
      <c r="B472" s="442"/>
      <c r="G472" s="483"/>
      <c r="H472" s="443"/>
    </row>
    <row r="473">
      <c r="A473" s="442"/>
      <c r="B473" s="442"/>
      <c r="G473" s="483"/>
      <c r="H473" s="443"/>
    </row>
    <row r="474">
      <c r="A474" s="442"/>
      <c r="B474" s="442"/>
      <c r="G474" s="483"/>
      <c r="H474" s="443"/>
    </row>
    <row r="475">
      <c r="A475" s="442"/>
      <c r="B475" s="442"/>
      <c r="G475" s="483"/>
      <c r="H475" s="443"/>
    </row>
    <row r="476">
      <c r="A476" s="442"/>
      <c r="B476" s="442"/>
      <c r="G476" s="483"/>
      <c r="H476" s="443"/>
    </row>
    <row r="477">
      <c r="A477" s="442"/>
      <c r="B477" s="442"/>
      <c r="G477" s="483"/>
      <c r="H477" s="443"/>
    </row>
    <row r="478">
      <c r="A478" s="442"/>
      <c r="B478" s="442"/>
      <c r="G478" s="483"/>
      <c r="H478" s="443"/>
    </row>
    <row r="479">
      <c r="A479" s="442"/>
      <c r="B479" s="442"/>
      <c r="G479" s="483"/>
      <c r="H479" s="443"/>
    </row>
    <row r="480">
      <c r="A480" s="442"/>
      <c r="B480" s="442"/>
      <c r="G480" s="483"/>
      <c r="H480" s="443"/>
    </row>
    <row r="481">
      <c r="A481" s="442"/>
      <c r="B481" s="442"/>
      <c r="G481" s="483"/>
      <c r="H481" s="443"/>
    </row>
    <row r="482">
      <c r="A482" s="442"/>
      <c r="B482" s="442"/>
      <c r="G482" s="483"/>
      <c r="H482" s="443"/>
    </row>
    <row r="483">
      <c r="A483" s="442"/>
      <c r="B483" s="442"/>
      <c r="G483" s="483"/>
      <c r="H483" s="443"/>
    </row>
    <row r="484">
      <c r="A484" s="442"/>
      <c r="B484" s="442"/>
      <c r="G484" s="483"/>
      <c r="H484" s="443"/>
    </row>
    <row r="485">
      <c r="A485" s="442"/>
      <c r="B485" s="442"/>
      <c r="G485" s="483"/>
      <c r="H485" s="443"/>
    </row>
    <row r="486">
      <c r="A486" s="442"/>
      <c r="B486" s="442"/>
      <c r="G486" s="483"/>
      <c r="H486" s="443"/>
    </row>
    <row r="487">
      <c r="A487" s="442"/>
      <c r="B487" s="442"/>
      <c r="G487" s="483"/>
      <c r="H487" s="443"/>
    </row>
    <row r="488">
      <c r="A488" s="442"/>
      <c r="B488" s="442"/>
      <c r="G488" s="483"/>
      <c r="H488" s="443"/>
    </row>
    <row r="489">
      <c r="A489" s="442"/>
      <c r="B489" s="442"/>
      <c r="G489" s="483"/>
      <c r="H489" s="443"/>
    </row>
    <row r="490">
      <c r="A490" s="442"/>
      <c r="B490" s="442"/>
      <c r="G490" s="483"/>
      <c r="H490" s="443"/>
    </row>
    <row r="491">
      <c r="A491" s="442"/>
      <c r="B491" s="442"/>
      <c r="G491" s="483"/>
      <c r="H491" s="443"/>
    </row>
    <row r="492">
      <c r="A492" s="442"/>
      <c r="B492" s="442"/>
      <c r="G492" s="483"/>
      <c r="H492" s="443"/>
    </row>
    <row r="493">
      <c r="A493" s="442"/>
      <c r="B493" s="442"/>
      <c r="G493" s="483"/>
      <c r="H493" s="443"/>
    </row>
    <row r="494">
      <c r="A494" s="442"/>
      <c r="B494" s="442"/>
      <c r="G494" s="483"/>
      <c r="H494" s="443"/>
    </row>
    <row r="495">
      <c r="A495" s="442"/>
      <c r="B495" s="442"/>
      <c r="G495" s="483"/>
      <c r="H495" s="443"/>
    </row>
    <row r="496">
      <c r="A496" s="442"/>
      <c r="B496" s="442"/>
      <c r="G496" s="483"/>
      <c r="H496" s="443"/>
    </row>
    <row r="497">
      <c r="A497" s="442"/>
      <c r="B497" s="442"/>
      <c r="G497" s="483"/>
      <c r="H497" s="443"/>
    </row>
    <row r="498">
      <c r="A498" s="442"/>
      <c r="B498" s="442"/>
      <c r="G498" s="483"/>
      <c r="H498" s="443"/>
    </row>
    <row r="499">
      <c r="A499" s="442"/>
      <c r="B499" s="442"/>
      <c r="G499" s="483"/>
      <c r="H499" s="443"/>
    </row>
    <row r="500">
      <c r="A500" s="442"/>
      <c r="B500" s="442"/>
      <c r="G500" s="483"/>
      <c r="H500" s="443"/>
    </row>
    <row r="501">
      <c r="A501" s="442"/>
      <c r="B501" s="442"/>
      <c r="G501" s="483"/>
      <c r="H501" s="443"/>
    </row>
    <row r="502">
      <c r="A502" s="442"/>
      <c r="B502" s="442"/>
      <c r="G502" s="483"/>
      <c r="H502" s="443"/>
    </row>
    <row r="503">
      <c r="A503" s="442"/>
      <c r="B503" s="442"/>
      <c r="G503" s="483"/>
      <c r="H503" s="443"/>
    </row>
    <row r="504">
      <c r="A504" s="442"/>
      <c r="B504" s="442"/>
      <c r="G504" s="483"/>
      <c r="H504" s="443"/>
    </row>
    <row r="505">
      <c r="A505" s="442"/>
      <c r="B505" s="442"/>
      <c r="G505" s="483"/>
      <c r="H505" s="443"/>
    </row>
    <row r="506">
      <c r="A506" s="442"/>
      <c r="B506" s="442"/>
      <c r="G506" s="483"/>
      <c r="H506" s="443"/>
    </row>
    <row r="507">
      <c r="A507" s="442"/>
      <c r="B507" s="442"/>
      <c r="G507" s="483"/>
      <c r="H507" s="443"/>
    </row>
    <row r="508">
      <c r="A508" s="442"/>
      <c r="B508" s="442"/>
      <c r="G508" s="483"/>
      <c r="H508" s="443"/>
    </row>
    <row r="509">
      <c r="A509" s="442"/>
      <c r="B509" s="442"/>
      <c r="G509" s="483"/>
      <c r="H509" s="443"/>
    </row>
    <row r="510">
      <c r="A510" s="442"/>
      <c r="B510" s="442"/>
      <c r="G510" s="483"/>
      <c r="H510" s="443"/>
    </row>
    <row r="511">
      <c r="A511" s="442"/>
      <c r="B511" s="442"/>
      <c r="G511" s="483"/>
      <c r="H511" s="443"/>
    </row>
    <row r="512">
      <c r="A512" s="442"/>
      <c r="B512" s="442"/>
      <c r="G512" s="483"/>
      <c r="H512" s="443"/>
    </row>
    <row r="513">
      <c r="A513" s="442"/>
      <c r="B513" s="442"/>
      <c r="G513" s="483"/>
      <c r="H513" s="443"/>
    </row>
    <row r="514">
      <c r="A514" s="442"/>
      <c r="B514" s="442"/>
      <c r="G514" s="483"/>
      <c r="H514" s="443"/>
    </row>
    <row r="515">
      <c r="A515" s="442"/>
      <c r="B515" s="442"/>
      <c r="G515" s="483"/>
      <c r="H515" s="443"/>
    </row>
    <row r="516">
      <c r="A516" s="442"/>
      <c r="B516" s="442"/>
      <c r="G516" s="483"/>
      <c r="H516" s="443"/>
    </row>
    <row r="517">
      <c r="A517" s="442"/>
      <c r="B517" s="442"/>
      <c r="G517" s="483"/>
      <c r="H517" s="443"/>
    </row>
    <row r="518">
      <c r="A518" s="442"/>
      <c r="B518" s="442"/>
      <c r="G518" s="483"/>
      <c r="H518" s="443"/>
    </row>
    <row r="519">
      <c r="A519" s="442"/>
      <c r="B519" s="442"/>
      <c r="G519" s="483"/>
      <c r="H519" s="443"/>
    </row>
    <row r="520">
      <c r="A520" s="442"/>
      <c r="B520" s="442"/>
      <c r="G520" s="483"/>
      <c r="H520" s="443"/>
    </row>
    <row r="521">
      <c r="A521" s="442"/>
      <c r="B521" s="442"/>
      <c r="G521" s="483"/>
      <c r="H521" s="443"/>
    </row>
    <row r="522">
      <c r="A522" s="442"/>
      <c r="B522" s="442"/>
      <c r="G522" s="483"/>
      <c r="H522" s="443"/>
    </row>
    <row r="523">
      <c r="A523" s="442"/>
      <c r="B523" s="442"/>
      <c r="G523" s="483"/>
      <c r="H523" s="443"/>
    </row>
    <row r="524">
      <c r="A524" s="442"/>
      <c r="B524" s="442"/>
      <c r="G524" s="483"/>
      <c r="H524" s="443"/>
    </row>
    <row r="525">
      <c r="A525" s="442"/>
      <c r="B525" s="442"/>
      <c r="G525" s="483"/>
      <c r="H525" s="443"/>
    </row>
    <row r="526">
      <c r="A526" s="442"/>
      <c r="B526" s="442"/>
      <c r="G526" s="483"/>
      <c r="H526" s="443"/>
    </row>
    <row r="527">
      <c r="A527" s="442"/>
      <c r="B527" s="442"/>
      <c r="G527" s="483"/>
      <c r="H527" s="443"/>
    </row>
    <row r="528">
      <c r="A528" s="442"/>
      <c r="B528" s="442"/>
      <c r="G528" s="483"/>
      <c r="H528" s="443"/>
    </row>
    <row r="529">
      <c r="A529" s="442"/>
      <c r="B529" s="442"/>
      <c r="G529" s="483"/>
      <c r="H529" s="443"/>
    </row>
    <row r="530">
      <c r="A530" s="442"/>
      <c r="B530" s="442"/>
      <c r="G530" s="483"/>
      <c r="H530" s="443"/>
    </row>
    <row r="531">
      <c r="A531" s="442"/>
      <c r="B531" s="442"/>
      <c r="G531" s="483"/>
      <c r="H531" s="443"/>
    </row>
    <row r="532">
      <c r="A532" s="442"/>
      <c r="B532" s="442"/>
      <c r="G532" s="483"/>
      <c r="H532" s="443"/>
    </row>
    <row r="533">
      <c r="A533" s="442"/>
      <c r="B533" s="442"/>
      <c r="G533" s="483"/>
      <c r="H533" s="443"/>
    </row>
    <row r="534">
      <c r="A534" s="442"/>
      <c r="B534" s="442"/>
      <c r="G534" s="483"/>
      <c r="H534" s="443"/>
    </row>
    <row r="535">
      <c r="A535" s="442"/>
      <c r="B535" s="442"/>
      <c r="G535" s="483"/>
      <c r="H535" s="443"/>
    </row>
    <row r="536">
      <c r="A536" s="442"/>
      <c r="B536" s="442"/>
      <c r="G536" s="483"/>
      <c r="H536" s="443"/>
    </row>
    <row r="537">
      <c r="A537" s="442"/>
      <c r="B537" s="442"/>
      <c r="G537" s="483"/>
      <c r="H537" s="443"/>
    </row>
    <row r="538">
      <c r="A538" s="442"/>
      <c r="B538" s="442"/>
      <c r="G538" s="483"/>
      <c r="H538" s="443"/>
    </row>
    <row r="539">
      <c r="A539" s="442"/>
      <c r="B539" s="442"/>
      <c r="G539" s="483"/>
      <c r="H539" s="443"/>
    </row>
    <row r="540">
      <c r="A540" s="442"/>
      <c r="B540" s="442"/>
      <c r="G540" s="483"/>
      <c r="H540" s="443"/>
    </row>
    <row r="541">
      <c r="A541" s="442"/>
      <c r="B541" s="442"/>
      <c r="G541" s="483"/>
      <c r="H541" s="443"/>
    </row>
    <row r="542">
      <c r="A542" s="442"/>
      <c r="B542" s="442"/>
      <c r="G542" s="483"/>
      <c r="H542" s="443"/>
    </row>
    <row r="543">
      <c r="A543" s="442"/>
      <c r="B543" s="442"/>
      <c r="G543" s="483"/>
      <c r="H543" s="443"/>
    </row>
    <row r="544">
      <c r="A544" s="442"/>
      <c r="B544" s="442"/>
      <c r="G544" s="483"/>
      <c r="H544" s="443"/>
    </row>
    <row r="545">
      <c r="A545" s="442"/>
      <c r="B545" s="442"/>
      <c r="G545" s="483"/>
      <c r="H545" s="443"/>
    </row>
    <row r="546">
      <c r="A546" s="442"/>
      <c r="B546" s="442"/>
      <c r="G546" s="483"/>
      <c r="H546" s="443"/>
    </row>
    <row r="547">
      <c r="A547" s="442"/>
      <c r="B547" s="442"/>
      <c r="G547" s="483"/>
      <c r="H547" s="443"/>
    </row>
    <row r="548">
      <c r="A548" s="442"/>
      <c r="B548" s="442"/>
      <c r="G548" s="483"/>
      <c r="H548" s="443"/>
    </row>
    <row r="549">
      <c r="A549" s="442"/>
      <c r="B549" s="442"/>
      <c r="G549" s="483"/>
      <c r="H549" s="443"/>
    </row>
    <row r="550">
      <c r="A550" s="442"/>
      <c r="B550" s="442"/>
      <c r="G550" s="483"/>
      <c r="H550" s="443"/>
    </row>
    <row r="551">
      <c r="A551" s="442"/>
      <c r="B551" s="442"/>
      <c r="G551" s="483"/>
      <c r="H551" s="443"/>
    </row>
    <row r="552">
      <c r="A552" s="442"/>
      <c r="B552" s="442"/>
      <c r="G552" s="483"/>
      <c r="H552" s="443"/>
    </row>
    <row r="553">
      <c r="A553" s="442"/>
      <c r="B553" s="442"/>
      <c r="G553" s="483"/>
      <c r="H553" s="443"/>
    </row>
    <row r="554">
      <c r="A554" s="442"/>
      <c r="B554" s="442"/>
      <c r="G554" s="483"/>
      <c r="H554" s="443"/>
    </row>
    <row r="555">
      <c r="A555" s="442"/>
      <c r="B555" s="442"/>
      <c r="G555" s="483"/>
      <c r="H555" s="443"/>
    </row>
    <row r="556">
      <c r="A556" s="442"/>
      <c r="B556" s="442"/>
      <c r="G556" s="483"/>
      <c r="H556" s="443"/>
    </row>
    <row r="557">
      <c r="A557" s="442"/>
      <c r="B557" s="442"/>
      <c r="G557" s="483"/>
      <c r="H557" s="443"/>
    </row>
    <row r="558">
      <c r="A558" s="442"/>
      <c r="B558" s="442"/>
      <c r="G558" s="483"/>
      <c r="H558" s="443"/>
    </row>
    <row r="559">
      <c r="A559" s="442"/>
      <c r="B559" s="442"/>
      <c r="G559" s="483"/>
      <c r="H559" s="443"/>
    </row>
    <row r="560">
      <c r="A560" s="442"/>
      <c r="B560" s="442"/>
      <c r="G560" s="483"/>
      <c r="H560" s="443"/>
    </row>
    <row r="561">
      <c r="A561" s="442"/>
      <c r="B561" s="442"/>
      <c r="G561" s="483"/>
      <c r="H561" s="443"/>
    </row>
    <row r="562">
      <c r="A562" s="442"/>
      <c r="B562" s="442"/>
      <c r="G562" s="483"/>
      <c r="H562" s="443"/>
    </row>
    <row r="563">
      <c r="A563" s="442"/>
      <c r="B563" s="442"/>
      <c r="G563" s="483"/>
      <c r="H563" s="443"/>
    </row>
    <row r="564">
      <c r="A564" s="442"/>
      <c r="B564" s="442"/>
      <c r="G564" s="483"/>
      <c r="H564" s="443"/>
    </row>
    <row r="565">
      <c r="A565" s="442"/>
      <c r="B565" s="442"/>
      <c r="G565" s="483"/>
      <c r="H565" s="443"/>
    </row>
    <row r="566">
      <c r="A566" s="442"/>
      <c r="B566" s="442"/>
      <c r="G566" s="483"/>
      <c r="H566" s="443"/>
    </row>
    <row r="567">
      <c r="A567" s="442"/>
      <c r="B567" s="442"/>
      <c r="G567" s="483"/>
      <c r="H567" s="443"/>
    </row>
    <row r="568">
      <c r="A568" s="442"/>
      <c r="B568" s="442"/>
      <c r="G568" s="483"/>
      <c r="H568" s="443"/>
    </row>
    <row r="569">
      <c r="A569" s="442"/>
      <c r="B569" s="442"/>
      <c r="G569" s="483"/>
      <c r="H569" s="443"/>
    </row>
    <row r="570">
      <c r="A570" s="442"/>
      <c r="B570" s="442"/>
      <c r="G570" s="483"/>
      <c r="H570" s="443"/>
    </row>
    <row r="571">
      <c r="A571" s="442"/>
      <c r="B571" s="442"/>
      <c r="G571" s="483"/>
      <c r="H571" s="443"/>
    </row>
    <row r="572">
      <c r="A572" s="442"/>
      <c r="B572" s="442"/>
      <c r="G572" s="483"/>
      <c r="H572" s="443"/>
    </row>
    <row r="573">
      <c r="A573" s="442"/>
      <c r="B573" s="442"/>
      <c r="G573" s="483"/>
      <c r="H573" s="443"/>
    </row>
    <row r="574">
      <c r="A574" s="442"/>
      <c r="B574" s="442"/>
      <c r="G574" s="483"/>
      <c r="H574" s="443"/>
    </row>
    <row r="575">
      <c r="A575" s="442"/>
      <c r="B575" s="442"/>
      <c r="G575" s="483"/>
      <c r="H575" s="443"/>
    </row>
    <row r="576">
      <c r="A576" s="442"/>
      <c r="B576" s="442"/>
      <c r="G576" s="483"/>
      <c r="H576" s="443"/>
    </row>
    <row r="577">
      <c r="A577" s="442"/>
      <c r="B577" s="442"/>
      <c r="G577" s="483"/>
      <c r="H577" s="443"/>
    </row>
    <row r="578">
      <c r="A578" s="442"/>
      <c r="B578" s="442"/>
      <c r="G578" s="483"/>
      <c r="H578" s="443"/>
    </row>
    <row r="579">
      <c r="A579" s="442"/>
      <c r="B579" s="442"/>
      <c r="G579" s="483"/>
      <c r="H579" s="443"/>
    </row>
    <row r="580">
      <c r="A580" s="442"/>
      <c r="B580" s="442"/>
      <c r="G580" s="483"/>
      <c r="H580" s="443"/>
    </row>
    <row r="581">
      <c r="A581" s="442"/>
      <c r="B581" s="442"/>
      <c r="G581" s="483"/>
      <c r="H581" s="443"/>
    </row>
    <row r="582">
      <c r="A582" s="442"/>
      <c r="B582" s="442"/>
      <c r="G582" s="483"/>
      <c r="H582" s="443"/>
    </row>
    <row r="583">
      <c r="A583" s="442"/>
      <c r="B583" s="442"/>
      <c r="G583" s="483"/>
      <c r="H583" s="443"/>
    </row>
    <row r="584">
      <c r="A584" s="442"/>
      <c r="B584" s="442"/>
      <c r="G584" s="483"/>
      <c r="H584" s="443"/>
    </row>
    <row r="585">
      <c r="A585" s="442"/>
      <c r="B585" s="442"/>
      <c r="G585" s="483"/>
      <c r="H585" s="443"/>
    </row>
    <row r="586">
      <c r="A586" s="442"/>
      <c r="B586" s="442"/>
      <c r="G586" s="483"/>
      <c r="H586" s="443"/>
    </row>
    <row r="587">
      <c r="A587" s="442"/>
      <c r="B587" s="442"/>
      <c r="G587" s="483"/>
      <c r="H587" s="443"/>
    </row>
    <row r="588">
      <c r="A588" s="442"/>
      <c r="B588" s="442"/>
      <c r="G588" s="483"/>
      <c r="H588" s="443"/>
    </row>
    <row r="589">
      <c r="A589" s="442"/>
      <c r="B589" s="442"/>
      <c r="G589" s="483"/>
      <c r="H589" s="443"/>
    </row>
    <row r="590">
      <c r="A590" s="442"/>
      <c r="B590" s="442"/>
      <c r="G590" s="483"/>
      <c r="H590" s="443"/>
    </row>
    <row r="591">
      <c r="A591" s="442"/>
      <c r="B591" s="442"/>
      <c r="G591" s="483"/>
      <c r="H591" s="443"/>
    </row>
    <row r="592">
      <c r="A592" s="442"/>
      <c r="B592" s="442"/>
      <c r="G592" s="483"/>
      <c r="H592" s="443"/>
    </row>
    <row r="593">
      <c r="A593" s="442"/>
      <c r="B593" s="442"/>
      <c r="G593" s="483"/>
      <c r="H593" s="443"/>
    </row>
    <row r="594">
      <c r="A594" s="442"/>
      <c r="B594" s="442"/>
      <c r="G594" s="483"/>
      <c r="H594" s="443"/>
    </row>
    <row r="595">
      <c r="A595" s="442"/>
      <c r="B595" s="442"/>
      <c r="G595" s="483"/>
      <c r="H595" s="443"/>
    </row>
    <row r="596">
      <c r="A596" s="442"/>
      <c r="B596" s="442"/>
      <c r="G596" s="483"/>
      <c r="H596" s="443"/>
    </row>
    <row r="597">
      <c r="A597" s="442"/>
      <c r="B597" s="442"/>
      <c r="G597" s="483"/>
      <c r="H597" s="443"/>
    </row>
    <row r="598">
      <c r="A598" s="442"/>
      <c r="B598" s="442"/>
      <c r="G598" s="483"/>
      <c r="H598" s="443"/>
    </row>
    <row r="599">
      <c r="A599" s="442"/>
      <c r="B599" s="442"/>
      <c r="G599" s="483"/>
      <c r="H599" s="443"/>
    </row>
    <row r="600">
      <c r="A600" s="442"/>
      <c r="B600" s="442"/>
      <c r="G600" s="483"/>
      <c r="H600" s="443"/>
    </row>
    <row r="601">
      <c r="A601" s="442"/>
      <c r="B601" s="442"/>
      <c r="G601" s="483"/>
      <c r="H601" s="443"/>
    </row>
    <row r="602">
      <c r="A602" s="442"/>
      <c r="B602" s="442"/>
      <c r="G602" s="483"/>
      <c r="H602" s="443"/>
    </row>
    <row r="603">
      <c r="A603" s="442"/>
      <c r="B603" s="442"/>
      <c r="G603" s="483"/>
      <c r="H603" s="443"/>
    </row>
    <row r="604">
      <c r="A604" s="442"/>
      <c r="B604" s="442"/>
      <c r="G604" s="483"/>
      <c r="H604" s="443"/>
    </row>
    <row r="605">
      <c r="A605" s="442"/>
      <c r="B605" s="442"/>
      <c r="G605" s="483"/>
      <c r="H605" s="443"/>
    </row>
    <row r="606">
      <c r="A606" s="442"/>
      <c r="B606" s="442"/>
      <c r="G606" s="483"/>
      <c r="H606" s="443"/>
    </row>
    <row r="607">
      <c r="A607" s="442"/>
      <c r="B607" s="442"/>
      <c r="G607" s="483"/>
      <c r="H607" s="443"/>
    </row>
    <row r="608">
      <c r="A608" s="442"/>
      <c r="B608" s="442"/>
      <c r="G608" s="483"/>
      <c r="H608" s="443"/>
    </row>
    <row r="609">
      <c r="A609" s="442"/>
      <c r="B609" s="442"/>
      <c r="G609" s="483"/>
      <c r="H609" s="443"/>
    </row>
    <row r="610">
      <c r="A610" s="442"/>
      <c r="B610" s="442"/>
      <c r="G610" s="483"/>
      <c r="H610" s="443"/>
    </row>
    <row r="611">
      <c r="A611" s="442"/>
      <c r="B611" s="442"/>
      <c r="G611" s="483"/>
      <c r="H611" s="443"/>
    </row>
    <row r="612">
      <c r="A612" s="442"/>
      <c r="B612" s="442"/>
      <c r="G612" s="483"/>
      <c r="H612" s="443"/>
    </row>
    <row r="613">
      <c r="A613" s="442"/>
      <c r="B613" s="442"/>
      <c r="G613" s="483"/>
      <c r="H613" s="443"/>
    </row>
    <row r="614">
      <c r="A614" s="442"/>
      <c r="B614" s="442"/>
      <c r="G614" s="483"/>
      <c r="H614" s="443"/>
    </row>
    <row r="615">
      <c r="A615" s="442"/>
      <c r="B615" s="442"/>
      <c r="G615" s="483"/>
      <c r="H615" s="443"/>
    </row>
    <row r="616">
      <c r="A616" s="442"/>
      <c r="B616" s="442"/>
      <c r="G616" s="483"/>
      <c r="H616" s="443"/>
    </row>
    <row r="617">
      <c r="A617" s="442"/>
      <c r="B617" s="442"/>
      <c r="G617" s="483"/>
      <c r="H617" s="443"/>
    </row>
    <row r="618">
      <c r="A618" s="442"/>
      <c r="B618" s="442"/>
      <c r="G618" s="483"/>
      <c r="H618" s="443"/>
    </row>
    <row r="619">
      <c r="A619" s="442"/>
      <c r="B619" s="442"/>
      <c r="G619" s="483"/>
      <c r="H619" s="443"/>
    </row>
    <row r="620">
      <c r="A620" s="442"/>
      <c r="B620" s="442"/>
      <c r="G620" s="483"/>
      <c r="H620" s="443"/>
    </row>
    <row r="621">
      <c r="A621" s="442"/>
      <c r="B621" s="442"/>
      <c r="G621" s="483"/>
      <c r="H621" s="443"/>
    </row>
    <row r="622">
      <c r="A622" s="442"/>
      <c r="B622" s="442"/>
      <c r="G622" s="483"/>
      <c r="H622" s="443"/>
    </row>
    <row r="623">
      <c r="A623" s="442"/>
      <c r="B623" s="442"/>
      <c r="G623" s="483"/>
      <c r="H623" s="443"/>
    </row>
    <row r="624">
      <c r="A624" s="442"/>
      <c r="B624" s="442"/>
      <c r="G624" s="483"/>
      <c r="H624" s="443"/>
    </row>
    <row r="625">
      <c r="A625" s="442"/>
      <c r="B625" s="442"/>
      <c r="G625" s="483"/>
      <c r="H625" s="443"/>
    </row>
    <row r="626">
      <c r="A626" s="442"/>
      <c r="B626" s="442"/>
      <c r="G626" s="483"/>
      <c r="H626" s="443"/>
    </row>
    <row r="627">
      <c r="A627" s="442"/>
      <c r="B627" s="442"/>
      <c r="G627" s="483"/>
      <c r="H627" s="443"/>
    </row>
    <row r="628">
      <c r="A628" s="442"/>
      <c r="B628" s="442"/>
      <c r="G628" s="483"/>
      <c r="H628" s="443"/>
    </row>
    <row r="629">
      <c r="A629" s="442"/>
      <c r="B629" s="442"/>
      <c r="G629" s="483"/>
      <c r="H629" s="443"/>
    </row>
    <row r="630">
      <c r="A630" s="442"/>
      <c r="B630" s="442"/>
      <c r="G630" s="483"/>
      <c r="H630" s="443"/>
    </row>
    <row r="631">
      <c r="A631" s="442"/>
      <c r="B631" s="442"/>
      <c r="G631" s="483"/>
      <c r="H631" s="443"/>
    </row>
    <row r="632">
      <c r="A632" s="442"/>
      <c r="B632" s="442"/>
      <c r="G632" s="483"/>
      <c r="H632" s="443"/>
    </row>
    <row r="633">
      <c r="A633" s="442"/>
      <c r="B633" s="442"/>
      <c r="G633" s="483"/>
      <c r="H633" s="443"/>
    </row>
    <row r="634">
      <c r="A634" s="442"/>
      <c r="B634" s="442"/>
      <c r="G634" s="483"/>
      <c r="H634" s="443"/>
    </row>
    <row r="635">
      <c r="A635" s="442"/>
      <c r="B635" s="442"/>
      <c r="G635" s="483"/>
      <c r="H635" s="443"/>
    </row>
    <row r="636">
      <c r="A636" s="442"/>
      <c r="B636" s="442"/>
      <c r="G636" s="483"/>
      <c r="H636" s="443"/>
    </row>
    <row r="637">
      <c r="A637" s="442"/>
      <c r="B637" s="442"/>
      <c r="G637" s="483"/>
      <c r="H637" s="443"/>
    </row>
    <row r="638">
      <c r="A638" s="442"/>
      <c r="B638" s="442"/>
      <c r="G638" s="483"/>
      <c r="H638" s="443"/>
    </row>
    <row r="639">
      <c r="A639" s="442"/>
      <c r="B639" s="442"/>
      <c r="G639" s="483"/>
      <c r="H639" s="443"/>
    </row>
    <row r="640">
      <c r="A640" s="442"/>
      <c r="B640" s="442"/>
      <c r="G640" s="483"/>
      <c r="H640" s="443"/>
    </row>
    <row r="641">
      <c r="A641" s="442"/>
      <c r="B641" s="442"/>
      <c r="G641" s="483"/>
      <c r="H641" s="443"/>
    </row>
    <row r="642">
      <c r="A642" s="442"/>
      <c r="B642" s="442"/>
      <c r="G642" s="483"/>
      <c r="H642" s="443"/>
    </row>
    <row r="643">
      <c r="A643" s="442"/>
      <c r="B643" s="442"/>
      <c r="G643" s="483"/>
      <c r="H643" s="443"/>
    </row>
    <row r="644">
      <c r="A644" s="442"/>
      <c r="B644" s="442"/>
      <c r="G644" s="483"/>
      <c r="H644" s="443"/>
    </row>
    <row r="645">
      <c r="A645" s="442"/>
      <c r="B645" s="442"/>
      <c r="G645" s="483"/>
      <c r="H645" s="443"/>
    </row>
    <row r="646">
      <c r="A646" s="442"/>
      <c r="B646" s="442"/>
      <c r="G646" s="483"/>
      <c r="H646" s="443"/>
    </row>
    <row r="647">
      <c r="A647" s="442"/>
      <c r="B647" s="442"/>
      <c r="G647" s="483"/>
      <c r="H647" s="443"/>
    </row>
    <row r="648">
      <c r="A648" s="442"/>
      <c r="B648" s="442"/>
      <c r="G648" s="483"/>
      <c r="H648" s="443"/>
    </row>
    <row r="649">
      <c r="A649" s="442"/>
      <c r="B649" s="442"/>
      <c r="G649" s="483"/>
      <c r="H649" s="443"/>
    </row>
    <row r="650">
      <c r="A650" s="442"/>
      <c r="B650" s="442"/>
      <c r="G650" s="483"/>
      <c r="H650" s="443"/>
    </row>
    <row r="651">
      <c r="A651" s="442"/>
      <c r="B651" s="442"/>
      <c r="G651" s="483"/>
      <c r="H651" s="443"/>
    </row>
    <row r="652">
      <c r="A652" s="442"/>
      <c r="B652" s="442"/>
      <c r="G652" s="483"/>
      <c r="H652" s="443"/>
    </row>
    <row r="653">
      <c r="A653" s="442"/>
      <c r="B653" s="442"/>
      <c r="G653" s="483"/>
      <c r="H653" s="443"/>
    </row>
    <row r="654">
      <c r="A654" s="442"/>
      <c r="B654" s="442"/>
      <c r="G654" s="483"/>
      <c r="H654" s="443"/>
    </row>
    <row r="655">
      <c r="A655" s="442"/>
      <c r="B655" s="442"/>
      <c r="G655" s="483"/>
      <c r="H655" s="443"/>
    </row>
    <row r="656">
      <c r="A656" s="442"/>
      <c r="B656" s="442"/>
      <c r="G656" s="483"/>
      <c r="H656" s="443"/>
    </row>
    <row r="657">
      <c r="A657" s="442"/>
      <c r="B657" s="442"/>
      <c r="G657" s="483"/>
      <c r="H657" s="443"/>
    </row>
    <row r="658">
      <c r="A658" s="442"/>
      <c r="B658" s="442"/>
      <c r="G658" s="483"/>
      <c r="H658" s="443"/>
    </row>
    <row r="659">
      <c r="A659" s="442"/>
      <c r="B659" s="442"/>
      <c r="G659" s="483"/>
      <c r="H659" s="443"/>
    </row>
    <row r="660">
      <c r="A660" s="442"/>
      <c r="B660" s="442"/>
      <c r="G660" s="483"/>
      <c r="H660" s="443"/>
    </row>
    <row r="661">
      <c r="A661" s="442"/>
      <c r="B661" s="442"/>
      <c r="G661" s="483"/>
      <c r="H661" s="443"/>
    </row>
    <row r="662">
      <c r="A662" s="442"/>
      <c r="B662" s="442"/>
      <c r="G662" s="483"/>
      <c r="H662" s="443"/>
    </row>
    <row r="663">
      <c r="A663" s="442"/>
      <c r="B663" s="442"/>
      <c r="G663" s="483"/>
      <c r="H663" s="443"/>
    </row>
    <row r="664">
      <c r="A664" s="442"/>
      <c r="B664" s="442"/>
      <c r="G664" s="483"/>
      <c r="H664" s="443"/>
    </row>
    <row r="665">
      <c r="A665" s="442"/>
      <c r="B665" s="442"/>
      <c r="G665" s="483"/>
      <c r="H665" s="443"/>
    </row>
    <row r="666">
      <c r="A666" s="442"/>
      <c r="B666" s="442"/>
      <c r="G666" s="483"/>
      <c r="H666" s="443"/>
    </row>
    <row r="667">
      <c r="A667" s="442"/>
      <c r="B667" s="442"/>
      <c r="G667" s="483"/>
      <c r="H667" s="443"/>
    </row>
    <row r="668">
      <c r="A668" s="442"/>
      <c r="B668" s="442"/>
      <c r="G668" s="483"/>
      <c r="H668" s="443"/>
    </row>
    <row r="669">
      <c r="A669" s="442"/>
      <c r="B669" s="442"/>
      <c r="G669" s="483"/>
      <c r="H669" s="443"/>
    </row>
    <row r="670">
      <c r="A670" s="442"/>
      <c r="B670" s="442"/>
      <c r="G670" s="483"/>
      <c r="H670" s="443"/>
    </row>
    <row r="671">
      <c r="A671" s="442"/>
      <c r="B671" s="442"/>
      <c r="G671" s="483"/>
      <c r="H671" s="443"/>
    </row>
    <row r="672">
      <c r="A672" s="442"/>
      <c r="B672" s="442"/>
      <c r="G672" s="483"/>
      <c r="H672" s="443"/>
    </row>
    <row r="673">
      <c r="A673" s="442"/>
      <c r="B673" s="442"/>
      <c r="G673" s="483"/>
      <c r="H673" s="443"/>
    </row>
    <row r="674">
      <c r="A674" s="442"/>
      <c r="B674" s="442"/>
      <c r="G674" s="483"/>
      <c r="H674" s="443"/>
    </row>
    <row r="675">
      <c r="A675" s="442"/>
      <c r="B675" s="442"/>
      <c r="G675" s="483"/>
      <c r="H675" s="443"/>
    </row>
    <row r="676">
      <c r="A676" s="442"/>
      <c r="B676" s="442"/>
      <c r="G676" s="483"/>
      <c r="H676" s="443"/>
    </row>
    <row r="677">
      <c r="A677" s="442"/>
      <c r="B677" s="442"/>
      <c r="G677" s="483"/>
      <c r="H677" s="443"/>
    </row>
    <row r="678">
      <c r="A678" s="442"/>
      <c r="B678" s="442"/>
      <c r="G678" s="483"/>
      <c r="H678" s="443"/>
    </row>
    <row r="679">
      <c r="A679" s="442"/>
      <c r="B679" s="442"/>
      <c r="G679" s="483"/>
      <c r="H679" s="443"/>
    </row>
    <row r="680">
      <c r="A680" s="442"/>
      <c r="B680" s="442"/>
      <c r="G680" s="483"/>
      <c r="H680" s="443"/>
    </row>
    <row r="681">
      <c r="A681" s="442"/>
      <c r="B681" s="442"/>
      <c r="G681" s="483"/>
      <c r="H681" s="443"/>
    </row>
    <row r="682">
      <c r="A682" s="442"/>
      <c r="B682" s="442"/>
      <c r="G682" s="483"/>
      <c r="H682" s="443"/>
    </row>
    <row r="683">
      <c r="A683" s="442"/>
      <c r="B683" s="442"/>
      <c r="G683" s="483"/>
      <c r="H683" s="443"/>
    </row>
    <row r="684">
      <c r="A684" s="442"/>
      <c r="B684" s="442"/>
      <c r="G684" s="483"/>
      <c r="H684" s="443"/>
    </row>
    <row r="685">
      <c r="A685" s="442"/>
      <c r="B685" s="442"/>
      <c r="G685" s="483"/>
      <c r="H685" s="443"/>
    </row>
    <row r="686">
      <c r="A686" s="442"/>
      <c r="B686" s="442"/>
      <c r="G686" s="483"/>
      <c r="H686" s="443"/>
    </row>
    <row r="687">
      <c r="A687" s="442"/>
      <c r="B687" s="442"/>
      <c r="G687" s="483"/>
      <c r="H687" s="443"/>
    </row>
    <row r="688">
      <c r="A688" s="442"/>
      <c r="B688" s="442"/>
      <c r="G688" s="483"/>
      <c r="H688" s="443"/>
    </row>
    <row r="689">
      <c r="A689" s="442"/>
      <c r="B689" s="442"/>
      <c r="G689" s="483"/>
      <c r="H689" s="443"/>
    </row>
    <row r="690">
      <c r="A690" s="442"/>
      <c r="B690" s="442"/>
      <c r="G690" s="483"/>
      <c r="H690" s="443"/>
    </row>
    <row r="691">
      <c r="A691" s="442"/>
      <c r="B691" s="442"/>
      <c r="G691" s="483"/>
      <c r="H691" s="443"/>
    </row>
    <row r="692">
      <c r="A692" s="442"/>
      <c r="B692" s="442"/>
      <c r="G692" s="483"/>
      <c r="H692" s="443"/>
    </row>
    <row r="693">
      <c r="A693" s="442"/>
      <c r="B693" s="442"/>
      <c r="G693" s="483"/>
      <c r="H693" s="443"/>
    </row>
    <row r="694">
      <c r="A694" s="442"/>
      <c r="B694" s="442"/>
      <c r="G694" s="483"/>
      <c r="H694" s="443"/>
    </row>
    <row r="695">
      <c r="A695" s="442"/>
      <c r="B695" s="442"/>
      <c r="G695" s="483"/>
      <c r="H695" s="443"/>
    </row>
    <row r="696">
      <c r="A696" s="442"/>
      <c r="B696" s="442"/>
      <c r="G696" s="483"/>
      <c r="H696" s="443"/>
    </row>
    <row r="697">
      <c r="A697" s="442"/>
      <c r="B697" s="442"/>
      <c r="G697" s="483"/>
      <c r="H697" s="443"/>
    </row>
    <row r="698">
      <c r="A698" s="442"/>
      <c r="B698" s="442"/>
      <c r="G698" s="483"/>
      <c r="H698" s="443"/>
    </row>
    <row r="699">
      <c r="A699" s="442"/>
      <c r="B699" s="442"/>
      <c r="G699" s="483"/>
      <c r="H699" s="443"/>
    </row>
    <row r="700">
      <c r="A700" s="442"/>
      <c r="B700" s="442"/>
      <c r="G700" s="483"/>
      <c r="H700" s="443"/>
    </row>
    <row r="701">
      <c r="A701" s="442"/>
      <c r="B701" s="442"/>
      <c r="G701" s="483"/>
      <c r="H701" s="443"/>
    </row>
    <row r="702">
      <c r="A702" s="442"/>
      <c r="B702" s="442"/>
      <c r="G702" s="483"/>
      <c r="H702" s="443"/>
    </row>
    <row r="703">
      <c r="A703" s="442"/>
      <c r="B703" s="442"/>
      <c r="G703" s="483"/>
      <c r="H703" s="443"/>
    </row>
    <row r="704">
      <c r="A704" s="442"/>
      <c r="B704" s="442"/>
      <c r="G704" s="483"/>
      <c r="H704" s="443"/>
    </row>
    <row r="705">
      <c r="A705" s="442"/>
      <c r="B705" s="442"/>
      <c r="G705" s="483"/>
      <c r="H705" s="443"/>
    </row>
    <row r="706">
      <c r="A706" s="442"/>
      <c r="B706" s="442"/>
      <c r="G706" s="483"/>
      <c r="H706" s="443"/>
    </row>
    <row r="707">
      <c r="A707" s="442"/>
      <c r="B707" s="442"/>
      <c r="G707" s="483"/>
      <c r="H707" s="443"/>
    </row>
    <row r="708">
      <c r="A708" s="442"/>
      <c r="B708" s="442"/>
      <c r="G708" s="483"/>
      <c r="H708" s="443"/>
    </row>
    <row r="709">
      <c r="A709" s="442"/>
      <c r="B709" s="442"/>
      <c r="G709" s="483"/>
      <c r="H709" s="443"/>
    </row>
    <row r="710">
      <c r="A710" s="442"/>
      <c r="B710" s="442"/>
      <c r="G710" s="483"/>
      <c r="H710" s="443"/>
    </row>
    <row r="711">
      <c r="A711" s="442"/>
      <c r="B711" s="442"/>
      <c r="G711" s="483"/>
      <c r="H711" s="443"/>
    </row>
    <row r="712">
      <c r="A712" s="442"/>
      <c r="B712" s="442"/>
      <c r="G712" s="483"/>
      <c r="H712" s="443"/>
    </row>
    <row r="713">
      <c r="A713" s="442"/>
      <c r="B713" s="442"/>
      <c r="G713" s="483"/>
      <c r="H713" s="443"/>
    </row>
    <row r="714">
      <c r="A714" s="442"/>
      <c r="B714" s="442"/>
      <c r="G714" s="483"/>
      <c r="H714" s="443"/>
    </row>
    <row r="715">
      <c r="A715" s="442"/>
      <c r="B715" s="442"/>
      <c r="G715" s="483"/>
      <c r="H715" s="443"/>
    </row>
    <row r="716">
      <c r="A716" s="442"/>
      <c r="B716" s="442"/>
      <c r="G716" s="483"/>
      <c r="H716" s="443"/>
    </row>
    <row r="717">
      <c r="A717" s="442"/>
      <c r="B717" s="442"/>
      <c r="G717" s="483"/>
      <c r="H717" s="443"/>
    </row>
    <row r="718">
      <c r="A718" s="442"/>
      <c r="B718" s="442"/>
      <c r="G718" s="483"/>
      <c r="H718" s="443"/>
    </row>
    <row r="719">
      <c r="A719" s="442"/>
      <c r="B719" s="442"/>
      <c r="G719" s="483"/>
      <c r="H719" s="443"/>
    </row>
    <row r="720">
      <c r="A720" s="442"/>
      <c r="B720" s="442"/>
      <c r="G720" s="483"/>
      <c r="H720" s="443"/>
    </row>
    <row r="721">
      <c r="A721" s="442"/>
      <c r="B721" s="442"/>
      <c r="G721" s="483"/>
      <c r="H721" s="443"/>
    </row>
    <row r="722">
      <c r="A722" s="442"/>
      <c r="B722" s="442"/>
      <c r="G722" s="483"/>
      <c r="H722" s="443"/>
    </row>
    <row r="723">
      <c r="A723" s="442"/>
      <c r="B723" s="442"/>
      <c r="G723" s="483"/>
      <c r="H723" s="443"/>
    </row>
    <row r="724">
      <c r="A724" s="442"/>
      <c r="B724" s="442"/>
      <c r="G724" s="483"/>
      <c r="H724" s="443"/>
    </row>
    <row r="725">
      <c r="A725" s="442"/>
      <c r="B725" s="442"/>
      <c r="G725" s="483"/>
      <c r="H725" s="443"/>
    </row>
    <row r="726">
      <c r="A726" s="442"/>
      <c r="B726" s="442"/>
      <c r="G726" s="483"/>
      <c r="H726" s="443"/>
    </row>
    <row r="727">
      <c r="A727" s="442"/>
      <c r="B727" s="442"/>
      <c r="G727" s="483"/>
      <c r="H727" s="443"/>
    </row>
    <row r="728">
      <c r="A728" s="442"/>
      <c r="B728" s="442"/>
      <c r="G728" s="483"/>
      <c r="H728" s="443"/>
    </row>
    <row r="729">
      <c r="A729" s="442"/>
      <c r="B729" s="442"/>
      <c r="G729" s="483"/>
      <c r="H729" s="443"/>
    </row>
    <row r="730">
      <c r="A730" s="442"/>
      <c r="B730" s="442"/>
      <c r="G730" s="483"/>
      <c r="H730" s="443"/>
    </row>
    <row r="731">
      <c r="A731" s="442"/>
      <c r="B731" s="442"/>
      <c r="G731" s="483"/>
      <c r="H731" s="443"/>
    </row>
    <row r="732">
      <c r="A732" s="442"/>
      <c r="B732" s="442"/>
      <c r="G732" s="483"/>
      <c r="H732" s="443"/>
    </row>
    <row r="733">
      <c r="A733" s="442"/>
      <c r="B733" s="442"/>
      <c r="G733" s="483"/>
      <c r="H733" s="443"/>
    </row>
    <row r="734">
      <c r="A734" s="442"/>
      <c r="B734" s="442"/>
      <c r="G734" s="483"/>
      <c r="H734" s="443"/>
    </row>
    <row r="735">
      <c r="A735" s="442"/>
      <c r="B735" s="442"/>
      <c r="G735" s="483"/>
      <c r="H735" s="443"/>
    </row>
    <row r="736">
      <c r="A736" s="442"/>
      <c r="B736" s="442"/>
      <c r="G736" s="483"/>
      <c r="H736" s="443"/>
    </row>
    <row r="737">
      <c r="A737" s="442"/>
      <c r="B737" s="442"/>
      <c r="G737" s="483"/>
      <c r="H737" s="443"/>
    </row>
    <row r="738">
      <c r="A738" s="442"/>
      <c r="B738" s="442"/>
      <c r="G738" s="483"/>
      <c r="H738" s="443"/>
    </row>
    <row r="739">
      <c r="A739" s="442"/>
      <c r="B739" s="442"/>
      <c r="G739" s="483"/>
      <c r="H739" s="443"/>
    </row>
    <row r="740">
      <c r="A740" s="442"/>
      <c r="B740" s="442"/>
      <c r="G740" s="483"/>
      <c r="H740" s="443"/>
    </row>
    <row r="741">
      <c r="A741" s="442"/>
      <c r="B741" s="442"/>
      <c r="G741" s="483"/>
      <c r="H741" s="443"/>
    </row>
    <row r="742">
      <c r="A742" s="442"/>
      <c r="B742" s="442"/>
      <c r="G742" s="483"/>
      <c r="H742" s="443"/>
    </row>
    <row r="743">
      <c r="A743" s="442"/>
      <c r="B743" s="442"/>
      <c r="G743" s="483"/>
      <c r="H743" s="443"/>
    </row>
    <row r="744">
      <c r="A744" s="442"/>
      <c r="B744" s="442"/>
      <c r="G744" s="483"/>
      <c r="H744" s="443"/>
    </row>
    <row r="745">
      <c r="A745" s="442"/>
      <c r="B745" s="442"/>
      <c r="G745" s="483"/>
      <c r="H745" s="443"/>
    </row>
    <row r="746">
      <c r="A746" s="442"/>
      <c r="B746" s="442"/>
      <c r="G746" s="483"/>
      <c r="H746" s="443"/>
    </row>
    <row r="747">
      <c r="A747" s="442"/>
      <c r="B747" s="442"/>
      <c r="G747" s="483"/>
      <c r="H747" s="443"/>
    </row>
    <row r="748">
      <c r="A748" s="442"/>
      <c r="B748" s="442"/>
      <c r="G748" s="483"/>
      <c r="H748" s="443"/>
    </row>
    <row r="749">
      <c r="A749" s="442"/>
      <c r="B749" s="442"/>
      <c r="G749" s="483"/>
      <c r="H749" s="443"/>
    </row>
    <row r="750">
      <c r="A750" s="442"/>
      <c r="B750" s="442"/>
      <c r="G750" s="483"/>
      <c r="H750" s="443"/>
    </row>
    <row r="751">
      <c r="A751" s="442"/>
      <c r="B751" s="442"/>
      <c r="G751" s="483"/>
      <c r="H751" s="443"/>
    </row>
    <row r="752">
      <c r="A752" s="442"/>
      <c r="B752" s="442"/>
      <c r="G752" s="483"/>
      <c r="H752" s="443"/>
    </row>
    <row r="753">
      <c r="A753" s="442"/>
      <c r="B753" s="442"/>
      <c r="G753" s="483"/>
      <c r="H753" s="443"/>
    </row>
    <row r="754">
      <c r="A754" s="442"/>
      <c r="B754" s="442"/>
      <c r="G754" s="483"/>
      <c r="H754" s="443"/>
    </row>
    <row r="755">
      <c r="A755" s="442"/>
      <c r="B755" s="442"/>
      <c r="G755" s="483"/>
      <c r="H755" s="443"/>
    </row>
    <row r="756">
      <c r="A756" s="442"/>
      <c r="B756" s="442"/>
      <c r="G756" s="483"/>
      <c r="H756" s="443"/>
    </row>
    <row r="757">
      <c r="A757" s="442"/>
      <c r="B757" s="442"/>
      <c r="G757" s="483"/>
      <c r="H757" s="443"/>
    </row>
    <row r="758">
      <c r="A758" s="442"/>
      <c r="B758" s="442"/>
      <c r="G758" s="483"/>
      <c r="H758" s="443"/>
    </row>
    <row r="759">
      <c r="A759" s="442"/>
      <c r="B759" s="442"/>
      <c r="G759" s="483"/>
      <c r="H759" s="443"/>
    </row>
    <row r="760">
      <c r="A760" s="442"/>
      <c r="B760" s="442"/>
      <c r="G760" s="483"/>
      <c r="H760" s="443"/>
    </row>
    <row r="761">
      <c r="A761" s="442"/>
      <c r="B761" s="442"/>
      <c r="G761" s="483"/>
      <c r="H761" s="443"/>
    </row>
    <row r="762">
      <c r="A762" s="442"/>
      <c r="B762" s="442"/>
      <c r="G762" s="483"/>
      <c r="H762" s="443"/>
    </row>
    <row r="763">
      <c r="A763" s="442"/>
      <c r="B763" s="442"/>
      <c r="G763" s="483"/>
      <c r="H763" s="443"/>
    </row>
    <row r="764">
      <c r="A764" s="442"/>
      <c r="B764" s="442"/>
      <c r="G764" s="483"/>
      <c r="H764" s="443"/>
    </row>
    <row r="765">
      <c r="A765" s="442"/>
      <c r="B765" s="442"/>
      <c r="G765" s="483"/>
      <c r="H765" s="443"/>
    </row>
    <row r="766">
      <c r="A766" s="442"/>
      <c r="B766" s="442"/>
      <c r="G766" s="483"/>
      <c r="H766" s="443"/>
    </row>
    <row r="767">
      <c r="A767" s="442"/>
      <c r="B767" s="442"/>
      <c r="G767" s="483"/>
      <c r="H767" s="443"/>
    </row>
    <row r="768">
      <c r="A768" s="442"/>
      <c r="B768" s="442"/>
      <c r="G768" s="483"/>
      <c r="H768" s="443"/>
    </row>
    <row r="769">
      <c r="A769" s="442"/>
      <c r="B769" s="442"/>
      <c r="G769" s="483"/>
      <c r="H769" s="443"/>
    </row>
    <row r="770">
      <c r="A770" s="442"/>
      <c r="B770" s="442"/>
      <c r="G770" s="483"/>
      <c r="H770" s="443"/>
    </row>
    <row r="771">
      <c r="A771" s="442"/>
      <c r="B771" s="442"/>
      <c r="G771" s="483"/>
      <c r="H771" s="443"/>
    </row>
    <row r="772">
      <c r="A772" s="442"/>
      <c r="B772" s="442"/>
      <c r="G772" s="483"/>
      <c r="H772" s="443"/>
    </row>
    <row r="773">
      <c r="A773" s="442"/>
      <c r="B773" s="442"/>
      <c r="G773" s="483"/>
      <c r="H773" s="443"/>
    </row>
    <row r="774">
      <c r="A774" s="442"/>
      <c r="B774" s="442"/>
      <c r="G774" s="483"/>
      <c r="H774" s="443"/>
    </row>
    <row r="775">
      <c r="A775" s="442"/>
      <c r="B775" s="442"/>
      <c r="G775" s="483"/>
      <c r="H775" s="443"/>
    </row>
    <row r="776">
      <c r="A776" s="442"/>
      <c r="B776" s="442"/>
      <c r="G776" s="483"/>
      <c r="H776" s="443"/>
    </row>
    <row r="777">
      <c r="A777" s="442"/>
      <c r="B777" s="442"/>
      <c r="G777" s="483"/>
      <c r="H777" s="443"/>
    </row>
    <row r="778">
      <c r="A778" s="442"/>
      <c r="B778" s="442"/>
      <c r="G778" s="483"/>
      <c r="H778" s="443"/>
    </row>
    <row r="779">
      <c r="A779" s="442"/>
      <c r="B779" s="442"/>
      <c r="G779" s="483"/>
      <c r="H779" s="443"/>
    </row>
    <row r="780">
      <c r="A780" s="442"/>
      <c r="B780" s="442"/>
      <c r="G780" s="483"/>
      <c r="H780" s="443"/>
    </row>
    <row r="781">
      <c r="A781" s="442"/>
      <c r="B781" s="442"/>
      <c r="G781" s="483"/>
      <c r="H781" s="443"/>
    </row>
    <row r="782">
      <c r="A782" s="442"/>
      <c r="B782" s="442"/>
      <c r="G782" s="483"/>
      <c r="H782" s="443"/>
    </row>
    <row r="783">
      <c r="A783" s="442"/>
      <c r="B783" s="442"/>
      <c r="G783" s="483"/>
      <c r="H783" s="443"/>
    </row>
    <row r="784">
      <c r="A784" s="442"/>
      <c r="B784" s="442"/>
      <c r="G784" s="483"/>
      <c r="H784" s="443"/>
    </row>
    <row r="785">
      <c r="A785" s="442"/>
      <c r="B785" s="442"/>
      <c r="G785" s="483"/>
      <c r="H785" s="443"/>
    </row>
    <row r="786">
      <c r="A786" s="442"/>
      <c r="B786" s="442"/>
      <c r="G786" s="483"/>
      <c r="H786" s="443"/>
    </row>
    <row r="787">
      <c r="A787" s="442"/>
      <c r="B787" s="442"/>
      <c r="G787" s="483"/>
      <c r="H787" s="443"/>
    </row>
    <row r="788">
      <c r="A788" s="442"/>
      <c r="B788" s="442"/>
      <c r="G788" s="483"/>
      <c r="H788" s="443"/>
    </row>
    <row r="789">
      <c r="A789" s="442"/>
      <c r="B789" s="442"/>
      <c r="G789" s="483"/>
      <c r="H789" s="443"/>
    </row>
    <row r="790">
      <c r="A790" s="442"/>
      <c r="B790" s="442"/>
      <c r="G790" s="483"/>
      <c r="H790" s="443"/>
    </row>
    <row r="791">
      <c r="A791" s="442"/>
      <c r="B791" s="442"/>
      <c r="G791" s="483"/>
      <c r="H791" s="443"/>
    </row>
    <row r="792">
      <c r="A792" s="442"/>
      <c r="B792" s="442"/>
      <c r="G792" s="483"/>
      <c r="H792" s="443"/>
    </row>
    <row r="793">
      <c r="A793" s="442"/>
      <c r="B793" s="442"/>
      <c r="G793" s="483"/>
      <c r="H793" s="443"/>
    </row>
    <row r="794">
      <c r="A794" s="442"/>
      <c r="B794" s="442"/>
      <c r="G794" s="483"/>
      <c r="H794" s="443"/>
    </row>
    <row r="795">
      <c r="A795" s="442"/>
      <c r="B795" s="442"/>
      <c r="G795" s="483"/>
      <c r="H795" s="443"/>
    </row>
    <row r="796">
      <c r="A796" s="442"/>
      <c r="B796" s="442"/>
      <c r="G796" s="483"/>
      <c r="H796" s="443"/>
    </row>
    <row r="797">
      <c r="A797" s="442"/>
      <c r="B797" s="442"/>
      <c r="G797" s="483"/>
      <c r="H797" s="443"/>
    </row>
    <row r="798">
      <c r="A798" s="442"/>
      <c r="B798" s="442"/>
      <c r="G798" s="483"/>
      <c r="H798" s="443"/>
    </row>
    <row r="799">
      <c r="A799" s="442"/>
      <c r="B799" s="442"/>
      <c r="G799" s="483"/>
      <c r="H799" s="443"/>
    </row>
    <row r="800">
      <c r="A800" s="442"/>
      <c r="B800" s="442"/>
      <c r="G800" s="483"/>
      <c r="H800" s="443"/>
    </row>
    <row r="801">
      <c r="A801" s="442"/>
      <c r="B801" s="442"/>
      <c r="G801" s="483"/>
      <c r="H801" s="443"/>
    </row>
    <row r="802">
      <c r="A802" s="442"/>
      <c r="B802" s="442"/>
      <c r="G802" s="483"/>
      <c r="H802" s="443"/>
    </row>
    <row r="803">
      <c r="A803" s="442"/>
      <c r="B803" s="442"/>
      <c r="G803" s="483"/>
      <c r="H803" s="443"/>
    </row>
    <row r="804">
      <c r="A804" s="442"/>
      <c r="B804" s="442"/>
      <c r="G804" s="483"/>
      <c r="H804" s="443"/>
    </row>
    <row r="805">
      <c r="A805" s="442"/>
      <c r="B805" s="442"/>
      <c r="G805" s="483"/>
      <c r="H805" s="443"/>
    </row>
    <row r="806">
      <c r="A806" s="442"/>
      <c r="B806" s="442"/>
      <c r="G806" s="483"/>
      <c r="H806" s="443"/>
    </row>
    <row r="807">
      <c r="A807" s="442"/>
      <c r="B807" s="442"/>
      <c r="G807" s="483"/>
      <c r="H807" s="443"/>
    </row>
    <row r="808">
      <c r="A808" s="442"/>
      <c r="B808" s="442"/>
      <c r="G808" s="483"/>
      <c r="H808" s="443"/>
    </row>
    <row r="809">
      <c r="A809" s="442"/>
      <c r="B809" s="442"/>
      <c r="G809" s="483"/>
      <c r="H809" s="443"/>
    </row>
    <row r="810">
      <c r="A810" s="442"/>
      <c r="B810" s="442"/>
      <c r="G810" s="483"/>
      <c r="H810" s="443"/>
    </row>
    <row r="811">
      <c r="A811" s="442"/>
      <c r="B811" s="442"/>
      <c r="G811" s="483"/>
      <c r="H811" s="443"/>
    </row>
    <row r="812">
      <c r="A812" s="442"/>
      <c r="B812" s="442"/>
      <c r="G812" s="483"/>
      <c r="H812" s="443"/>
    </row>
    <row r="813">
      <c r="A813" s="442"/>
      <c r="B813" s="442"/>
      <c r="G813" s="483"/>
      <c r="H813" s="443"/>
    </row>
    <row r="814">
      <c r="A814" s="442"/>
      <c r="B814" s="442"/>
      <c r="G814" s="483"/>
      <c r="H814" s="443"/>
    </row>
    <row r="815">
      <c r="A815" s="442"/>
      <c r="B815" s="442"/>
      <c r="G815" s="483"/>
      <c r="H815" s="443"/>
    </row>
    <row r="816">
      <c r="A816" s="442"/>
      <c r="B816" s="442"/>
      <c r="G816" s="483"/>
      <c r="H816" s="443"/>
    </row>
    <row r="817">
      <c r="A817" s="442"/>
      <c r="B817" s="442"/>
      <c r="G817" s="483"/>
      <c r="H817" s="443"/>
    </row>
    <row r="818">
      <c r="A818" s="442"/>
      <c r="B818" s="442"/>
      <c r="G818" s="483"/>
      <c r="H818" s="443"/>
    </row>
    <row r="819">
      <c r="A819" s="442"/>
      <c r="B819" s="442"/>
      <c r="G819" s="483"/>
      <c r="H819" s="443"/>
    </row>
    <row r="820">
      <c r="A820" s="442"/>
      <c r="B820" s="442"/>
      <c r="G820" s="483"/>
      <c r="H820" s="443"/>
    </row>
    <row r="821">
      <c r="A821" s="442"/>
      <c r="B821" s="442"/>
      <c r="G821" s="483"/>
      <c r="H821" s="443"/>
    </row>
    <row r="822">
      <c r="A822" s="442"/>
      <c r="B822" s="442"/>
      <c r="G822" s="483"/>
      <c r="H822" s="443"/>
    </row>
    <row r="823">
      <c r="A823" s="442"/>
      <c r="B823" s="442"/>
      <c r="G823" s="483"/>
      <c r="H823" s="443"/>
    </row>
    <row r="824">
      <c r="A824" s="442"/>
      <c r="B824" s="442"/>
      <c r="G824" s="483"/>
      <c r="H824" s="443"/>
    </row>
    <row r="825">
      <c r="A825" s="442"/>
      <c r="B825" s="442"/>
      <c r="G825" s="483"/>
      <c r="H825" s="443"/>
    </row>
    <row r="826">
      <c r="A826" s="442"/>
      <c r="B826" s="442"/>
      <c r="G826" s="483"/>
      <c r="H826" s="443"/>
    </row>
    <row r="827">
      <c r="A827" s="442"/>
      <c r="B827" s="442"/>
      <c r="G827" s="483"/>
      <c r="H827" s="443"/>
    </row>
    <row r="828">
      <c r="A828" s="442"/>
      <c r="B828" s="442"/>
      <c r="G828" s="483"/>
      <c r="H828" s="443"/>
    </row>
    <row r="829">
      <c r="A829" s="442"/>
      <c r="B829" s="442"/>
      <c r="G829" s="483"/>
      <c r="H829" s="443"/>
    </row>
    <row r="830">
      <c r="A830" s="442"/>
      <c r="B830" s="442"/>
      <c r="G830" s="483"/>
      <c r="H830" s="443"/>
    </row>
    <row r="831">
      <c r="A831" s="442"/>
      <c r="B831" s="442"/>
      <c r="G831" s="483"/>
      <c r="H831" s="443"/>
    </row>
    <row r="832">
      <c r="A832" s="442"/>
      <c r="B832" s="442"/>
      <c r="G832" s="483"/>
      <c r="H832" s="443"/>
    </row>
    <row r="833">
      <c r="A833" s="442"/>
      <c r="B833" s="442"/>
      <c r="G833" s="483"/>
      <c r="H833" s="443"/>
    </row>
    <row r="834">
      <c r="A834" s="442"/>
      <c r="B834" s="442"/>
      <c r="G834" s="483"/>
      <c r="H834" s="443"/>
    </row>
    <row r="835">
      <c r="A835" s="442"/>
      <c r="B835" s="442"/>
      <c r="G835" s="483"/>
      <c r="H835" s="443"/>
    </row>
    <row r="836">
      <c r="A836" s="442"/>
      <c r="B836" s="442"/>
      <c r="G836" s="483"/>
      <c r="H836" s="443"/>
    </row>
    <row r="837">
      <c r="A837" s="442"/>
      <c r="B837" s="442"/>
      <c r="G837" s="483"/>
      <c r="H837" s="443"/>
    </row>
    <row r="838">
      <c r="A838" s="442"/>
      <c r="B838" s="442"/>
      <c r="G838" s="483"/>
      <c r="H838" s="443"/>
    </row>
    <row r="839">
      <c r="A839" s="442"/>
      <c r="B839" s="442"/>
      <c r="G839" s="483"/>
      <c r="H839" s="443"/>
    </row>
    <row r="840">
      <c r="A840" s="442"/>
      <c r="B840" s="442"/>
      <c r="G840" s="483"/>
      <c r="H840" s="443"/>
    </row>
    <row r="841">
      <c r="A841" s="442"/>
      <c r="B841" s="442"/>
      <c r="G841" s="483"/>
      <c r="H841" s="443"/>
    </row>
    <row r="842">
      <c r="A842" s="442"/>
      <c r="B842" s="442"/>
      <c r="G842" s="483"/>
      <c r="H842" s="443"/>
    </row>
    <row r="843">
      <c r="A843" s="442"/>
      <c r="B843" s="442"/>
      <c r="G843" s="483"/>
      <c r="H843" s="443"/>
    </row>
    <row r="844">
      <c r="A844" s="442"/>
      <c r="B844" s="442"/>
      <c r="G844" s="483"/>
      <c r="H844" s="443"/>
    </row>
    <row r="845">
      <c r="A845" s="442"/>
      <c r="B845" s="442"/>
      <c r="G845" s="483"/>
      <c r="H845" s="443"/>
    </row>
    <row r="846">
      <c r="A846" s="442"/>
      <c r="B846" s="442"/>
      <c r="G846" s="483"/>
      <c r="H846" s="443"/>
    </row>
    <row r="847">
      <c r="A847" s="442"/>
      <c r="B847" s="442"/>
      <c r="G847" s="483"/>
      <c r="H847" s="443"/>
    </row>
    <row r="848">
      <c r="A848" s="442"/>
      <c r="B848" s="442"/>
      <c r="G848" s="483"/>
      <c r="H848" s="443"/>
    </row>
    <row r="849">
      <c r="A849" s="442"/>
      <c r="B849" s="442"/>
      <c r="G849" s="483"/>
      <c r="H849" s="443"/>
    </row>
    <row r="850">
      <c r="A850" s="442"/>
      <c r="B850" s="442"/>
      <c r="G850" s="483"/>
      <c r="H850" s="443"/>
    </row>
    <row r="851">
      <c r="A851" s="442"/>
      <c r="B851" s="442"/>
      <c r="G851" s="483"/>
      <c r="H851" s="443"/>
    </row>
    <row r="852">
      <c r="A852" s="442"/>
      <c r="B852" s="442"/>
      <c r="G852" s="483"/>
      <c r="H852" s="443"/>
    </row>
    <row r="853">
      <c r="A853" s="442"/>
      <c r="B853" s="442"/>
      <c r="G853" s="483"/>
      <c r="H853" s="443"/>
    </row>
    <row r="854">
      <c r="A854" s="442"/>
      <c r="B854" s="442"/>
      <c r="G854" s="483"/>
      <c r="H854" s="443"/>
    </row>
    <row r="855">
      <c r="A855" s="442"/>
      <c r="B855" s="442"/>
      <c r="G855" s="483"/>
      <c r="H855" s="443"/>
    </row>
    <row r="856">
      <c r="A856" s="442"/>
      <c r="B856" s="442"/>
      <c r="G856" s="483"/>
      <c r="H856" s="443"/>
    </row>
    <row r="857">
      <c r="A857" s="442"/>
      <c r="B857" s="442"/>
      <c r="G857" s="483"/>
      <c r="H857" s="443"/>
    </row>
    <row r="858">
      <c r="A858" s="442"/>
      <c r="B858" s="442"/>
      <c r="G858" s="483"/>
      <c r="H858" s="443"/>
    </row>
    <row r="859">
      <c r="A859" s="442"/>
      <c r="B859" s="442"/>
      <c r="G859" s="483"/>
      <c r="H859" s="443"/>
    </row>
    <row r="860">
      <c r="A860" s="442"/>
      <c r="B860" s="442"/>
      <c r="G860" s="483"/>
      <c r="H860" s="443"/>
    </row>
    <row r="861">
      <c r="A861" s="442"/>
      <c r="B861" s="442"/>
      <c r="G861" s="483"/>
      <c r="H861" s="443"/>
    </row>
    <row r="862">
      <c r="A862" s="442"/>
      <c r="B862" s="442"/>
      <c r="G862" s="483"/>
      <c r="H862" s="443"/>
    </row>
    <row r="863">
      <c r="A863" s="442"/>
      <c r="B863" s="442"/>
      <c r="G863" s="483"/>
      <c r="H863" s="443"/>
    </row>
    <row r="864">
      <c r="A864" s="442"/>
      <c r="B864" s="442"/>
      <c r="G864" s="483"/>
      <c r="H864" s="443"/>
    </row>
    <row r="865">
      <c r="A865" s="442"/>
      <c r="B865" s="442"/>
      <c r="G865" s="483"/>
      <c r="H865" s="443"/>
    </row>
    <row r="866">
      <c r="A866" s="442"/>
      <c r="B866" s="442"/>
      <c r="G866" s="483"/>
      <c r="H866" s="443"/>
    </row>
    <row r="867">
      <c r="A867" s="442"/>
      <c r="B867" s="442"/>
      <c r="G867" s="483"/>
      <c r="H867" s="443"/>
    </row>
    <row r="868">
      <c r="A868" s="442"/>
      <c r="B868" s="442"/>
      <c r="G868" s="483"/>
      <c r="H868" s="443"/>
    </row>
    <row r="869">
      <c r="A869" s="442"/>
      <c r="B869" s="442"/>
      <c r="G869" s="483"/>
      <c r="H869" s="443"/>
    </row>
    <row r="870">
      <c r="A870" s="442"/>
      <c r="B870" s="442"/>
      <c r="G870" s="483"/>
      <c r="H870" s="443"/>
    </row>
    <row r="871">
      <c r="A871" s="442"/>
      <c r="B871" s="442"/>
      <c r="G871" s="483"/>
      <c r="H871" s="443"/>
    </row>
    <row r="872">
      <c r="A872" s="442"/>
      <c r="B872" s="442"/>
      <c r="G872" s="483"/>
      <c r="H872" s="443"/>
    </row>
    <row r="873">
      <c r="A873" s="442"/>
      <c r="B873" s="442"/>
      <c r="G873" s="483"/>
      <c r="H873" s="443"/>
    </row>
    <row r="874">
      <c r="A874" s="442"/>
      <c r="B874" s="442"/>
      <c r="G874" s="483"/>
      <c r="H874" s="443"/>
    </row>
    <row r="875">
      <c r="A875" s="442"/>
      <c r="B875" s="442"/>
      <c r="G875" s="483"/>
      <c r="H875" s="443"/>
    </row>
    <row r="876">
      <c r="A876" s="442"/>
      <c r="B876" s="442"/>
      <c r="G876" s="483"/>
      <c r="H876" s="443"/>
    </row>
    <row r="877">
      <c r="A877" s="442"/>
      <c r="B877" s="442"/>
      <c r="G877" s="483"/>
      <c r="H877" s="443"/>
    </row>
    <row r="878">
      <c r="A878" s="442"/>
      <c r="B878" s="442"/>
      <c r="G878" s="483"/>
      <c r="H878" s="443"/>
    </row>
    <row r="879">
      <c r="A879" s="442"/>
      <c r="B879" s="442"/>
      <c r="G879" s="483"/>
      <c r="H879" s="443"/>
    </row>
    <row r="880">
      <c r="A880" s="442"/>
      <c r="B880" s="442"/>
      <c r="G880" s="483"/>
      <c r="H880" s="443"/>
    </row>
    <row r="881">
      <c r="A881" s="442"/>
      <c r="B881" s="442"/>
      <c r="G881" s="483"/>
      <c r="H881" s="443"/>
    </row>
    <row r="882">
      <c r="A882" s="442"/>
      <c r="B882" s="442"/>
      <c r="G882" s="483"/>
      <c r="H882" s="443"/>
    </row>
    <row r="883">
      <c r="A883" s="442"/>
      <c r="B883" s="442"/>
      <c r="G883" s="483"/>
      <c r="H883" s="443"/>
    </row>
    <row r="884">
      <c r="A884" s="442"/>
      <c r="B884" s="442"/>
      <c r="G884" s="483"/>
      <c r="H884" s="443"/>
    </row>
    <row r="885">
      <c r="A885" s="442"/>
      <c r="B885" s="442"/>
      <c r="G885" s="483"/>
      <c r="H885" s="443"/>
    </row>
    <row r="886">
      <c r="A886" s="442"/>
      <c r="B886" s="442"/>
      <c r="G886" s="483"/>
      <c r="H886" s="443"/>
    </row>
    <row r="887">
      <c r="A887" s="442"/>
      <c r="B887" s="442"/>
      <c r="G887" s="483"/>
      <c r="H887" s="443"/>
    </row>
    <row r="888">
      <c r="A888" s="442"/>
      <c r="B888" s="442"/>
      <c r="G888" s="483"/>
      <c r="H888" s="443"/>
    </row>
    <row r="889">
      <c r="A889" s="442"/>
      <c r="B889" s="442"/>
      <c r="G889" s="483"/>
      <c r="H889" s="443"/>
    </row>
    <row r="890">
      <c r="A890" s="442"/>
      <c r="B890" s="442"/>
      <c r="G890" s="483"/>
      <c r="H890" s="443"/>
    </row>
    <row r="891">
      <c r="A891" s="442"/>
      <c r="B891" s="442"/>
      <c r="G891" s="483"/>
      <c r="H891" s="443"/>
    </row>
    <row r="892">
      <c r="A892" s="442"/>
      <c r="B892" s="442"/>
      <c r="G892" s="483"/>
      <c r="H892" s="443"/>
    </row>
    <row r="893">
      <c r="A893" s="442"/>
      <c r="B893" s="442"/>
      <c r="G893" s="483"/>
      <c r="H893" s="443"/>
    </row>
    <row r="894">
      <c r="A894" s="442"/>
      <c r="B894" s="442"/>
      <c r="G894" s="483"/>
      <c r="H894" s="443"/>
    </row>
    <row r="895">
      <c r="A895" s="442"/>
      <c r="B895" s="442"/>
      <c r="G895" s="483"/>
      <c r="H895" s="443"/>
    </row>
    <row r="896">
      <c r="A896" s="442"/>
      <c r="B896" s="442"/>
      <c r="G896" s="483"/>
      <c r="H896" s="443"/>
    </row>
    <row r="897">
      <c r="A897" s="442"/>
      <c r="B897" s="442"/>
      <c r="G897" s="483"/>
      <c r="H897" s="443"/>
    </row>
    <row r="898">
      <c r="A898" s="442"/>
      <c r="B898" s="442"/>
      <c r="G898" s="483"/>
      <c r="H898" s="443"/>
    </row>
    <row r="899">
      <c r="A899" s="442"/>
      <c r="B899" s="442"/>
      <c r="G899" s="483"/>
      <c r="H899" s="443"/>
    </row>
    <row r="900">
      <c r="A900" s="442"/>
      <c r="B900" s="442"/>
      <c r="G900" s="483"/>
      <c r="H900" s="443"/>
    </row>
    <row r="901">
      <c r="A901" s="442"/>
      <c r="B901" s="442"/>
      <c r="G901" s="483"/>
      <c r="H901" s="443"/>
    </row>
    <row r="902">
      <c r="A902" s="442"/>
      <c r="B902" s="442"/>
      <c r="G902" s="483"/>
      <c r="H902" s="443"/>
    </row>
    <row r="903">
      <c r="A903" s="442"/>
      <c r="B903" s="442"/>
      <c r="G903" s="483"/>
      <c r="H903" s="443"/>
    </row>
    <row r="904">
      <c r="A904" s="442"/>
      <c r="B904" s="442"/>
      <c r="G904" s="483"/>
      <c r="H904" s="443"/>
    </row>
    <row r="905">
      <c r="A905" s="442"/>
      <c r="B905" s="442"/>
      <c r="G905" s="483"/>
      <c r="H905" s="443"/>
    </row>
    <row r="906">
      <c r="A906" s="442"/>
      <c r="B906" s="442"/>
      <c r="G906" s="483"/>
      <c r="H906" s="443"/>
    </row>
    <row r="907">
      <c r="A907" s="442"/>
      <c r="B907" s="442"/>
      <c r="G907" s="483"/>
      <c r="H907" s="443"/>
    </row>
    <row r="908">
      <c r="A908" s="442"/>
      <c r="B908" s="442"/>
      <c r="G908" s="483"/>
      <c r="H908" s="443"/>
    </row>
    <row r="909">
      <c r="A909" s="442"/>
      <c r="B909" s="442"/>
      <c r="G909" s="483"/>
      <c r="H909" s="443"/>
    </row>
    <row r="910">
      <c r="A910" s="442"/>
      <c r="B910" s="442"/>
      <c r="G910" s="483"/>
      <c r="H910" s="443"/>
    </row>
    <row r="911">
      <c r="A911" s="442"/>
      <c r="B911" s="442"/>
      <c r="G911" s="483"/>
      <c r="H911" s="443"/>
    </row>
    <row r="912">
      <c r="A912" s="442"/>
      <c r="B912" s="442"/>
      <c r="G912" s="483"/>
      <c r="H912" s="443"/>
    </row>
    <row r="913">
      <c r="A913" s="442"/>
      <c r="B913" s="442"/>
      <c r="G913" s="483"/>
      <c r="H913" s="443"/>
    </row>
    <row r="914">
      <c r="A914" s="442"/>
      <c r="B914" s="442"/>
      <c r="G914" s="483"/>
      <c r="H914" s="443"/>
    </row>
    <row r="915">
      <c r="A915" s="442"/>
      <c r="B915" s="442"/>
      <c r="G915" s="483"/>
      <c r="H915" s="443"/>
    </row>
    <row r="916">
      <c r="A916" s="442"/>
      <c r="B916" s="442"/>
      <c r="G916" s="483"/>
      <c r="H916" s="443"/>
    </row>
    <row r="917">
      <c r="A917" s="442"/>
      <c r="B917" s="442"/>
      <c r="G917" s="483"/>
      <c r="H917" s="443"/>
    </row>
    <row r="918">
      <c r="A918" s="442"/>
      <c r="B918" s="442"/>
      <c r="G918" s="483"/>
      <c r="H918" s="443"/>
    </row>
    <row r="919">
      <c r="A919" s="442"/>
      <c r="B919" s="442"/>
      <c r="G919" s="483"/>
      <c r="H919" s="443"/>
    </row>
    <row r="920">
      <c r="A920" s="442"/>
      <c r="B920" s="442"/>
      <c r="G920" s="483"/>
      <c r="H920" s="443"/>
    </row>
    <row r="921">
      <c r="A921" s="442"/>
      <c r="B921" s="442"/>
      <c r="G921" s="483"/>
      <c r="H921" s="443"/>
    </row>
    <row r="922">
      <c r="A922" s="442"/>
      <c r="B922" s="442"/>
      <c r="G922" s="483"/>
      <c r="H922" s="443"/>
    </row>
    <row r="923">
      <c r="A923" s="442"/>
      <c r="B923" s="442"/>
      <c r="G923" s="483"/>
      <c r="H923" s="443"/>
    </row>
    <row r="924">
      <c r="A924" s="442"/>
      <c r="B924" s="442"/>
      <c r="G924" s="483"/>
      <c r="H924" s="443"/>
    </row>
    <row r="925">
      <c r="A925" s="442"/>
      <c r="B925" s="442"/>
      <c r="G925" s="483"/>
      <c r="H925" s="443"/>
    </row>
    <row r="926">
      <c r="A926" s="442"/>
      <c r="B926" s="442"/>
      <c r="G926" s="483"/>
      <c r="H926" s="443"/>
    </row>
    <row r="927">
      <c r="A927" s="442"/>
      <c r="B927" s="442"/>
      <c r="G927" s="483"/>
      <c r="H927" s="443"/>
    </row>
    <row r="928">
      <c r="A928" s="442"/>
      <c r="B928" s="442"/>
      <c r="G928" s="483"/>
      <c r="H928" s="443"/>
    </row>
    <row r="929">
      <c r="A929" s="442"/>
      <c r="B929" s="442"/>
      <c r="G929" s="483"/>
      <c r="H929" s="443"/>
    </row>
    <row r="930">
      <c r="A930" s="442"/>
      <c r="B930" s="442"/>
      <c r="G930" s="483"/>
      <c r="H930" s="443"/>
    </row>
    <row r="931">
      <c r="A931" s="442"/>
      <c r="B931" s="442"/>
      <c r="G931" s="483"/>
      <c r="H931" s="443"/>
    </row>
    <row r="932">
      <c r="A932" s="442"/>
      <c r="B932" s="442"/>
      <c r="G932" s="483"/>
      <c r="H932" s="443"/>
    </row>
    <row r="933">
      <c r="A933" s="442"/>
      <c r="B933" s="442"/>
      <c r="G933" s="483"/>
      <c r="H933" s="443"/>
    </row>
    <row r="934">
      <c r="A934" s="442"/>
      <c r="B934" s="442"/>
      <c r="G934" s="483"/>
      <c r="H934" s="443"/>
    </row>
    <row r="935">
      <c r="A935" s="442"/>
      <c r="B935" s="442"/>
      <c r="G935" s="483"/>
      <c r="H935" s="443"/>
    </row>
    <row r="936">
      <c r="A936" s="442"/>
      <c r="B936" s="442"/>
      <c r="G936" s="483"/>
      <c r="H936" s="443"/>
    </row>
    <row r="937">
      <c r="A937" s="442"/>
      <c r="B937" s="442"/>
      <c r="G937" s="483"/>
      <c r="H937" s="443"/>
    </row>
    <row r="938">
      <c r="A938" s="442"/>
      <c r="B938" s="442"/>
      <c r="G938" s="483"/>
      <c r="H938" s="443"/>
    </row>
    <row r="939">
      <c r="A939" s="442"/>
      <c r="B939" s="442"/>
      <c r="G939" s="483"/>
      <c r="H939" s="443"/>
    </row>
    <row r="940">
      <c r="A940" s="442"/>
      <c r="B940" s="442"/>
      <c r="G940" s="483"/>
      <c r="H940" s="443"/>
    </row>
    <row r="941">
      <c r="A941" s="442"/>
      <c r="B941" s="442"/>
      <c r="G941" s="483"/>
      <c r="H941" s="443"/>
    </row>
    <row r="942">
      <c r="A942" s="442"/>
      <c r="B942" s="442"/>
      <c r="G942" s="483"/>
      <c r="H942" s="443"/>
    </row>
    <row r="943">
      <c r="A943" s="442"/>
      <c r="B943" s="442"/>
      <c r="G943" s="483"/>
      <c r="H943" s="443"/>
    </row>
    <row r="944">
      <c r="A944" s="442"/>
      <c r="B944" s="442"/>
      <c r="G944" s="483"/>
      <c r="H944" s="443"/>
    </row>
    <row r="945">
      <c r="A945" s="442"/>
      <c r="B945" s="442"/>
      <c r="G945" s="483"/>
      <c r="H945" s="443"/>
    </row>
    <row r="946">
      <c r="A946" s="442"/>
      <c r="B946" s="442"/>
      <c r="G946" s="483"/>
      <c r="H946" s="443"/>
    </row>
    <row r="947">
      <c r="A947" s="442"/>
      <c r="B947" s="442"/>
      <c r="G947" s="483"/>
      <c r="H947" s="443"/>
    </row>
    <row r="948">
      <c r="A948" s="442"/>
      <c r="B948" s="442"/>
      <c r="G948" s="483"/>
      <c r="H948" s="443"/>
    </row>
    <row r="949">
      <c r="A949" s="442"/>
      <c r="B949" s="442"/>
      <c r="G949" s="483"/>
      <c r="H949" s="443"/>
    </row>
    <row r="950">
      <c r="A950" s="442"/>
      <c r="B950" s="442"/>
      <c r="G950" s="483"/>
      <c r="H950" s="443"/>
    </row>
    <row r="951">
      <c r="A951" s="442"/>
      <c r="B951" s="442"/>
      <c r="G951" s="483"/>
      <c r="H951" s="443"/>
    </row>
    <row r="952">
      <c r="A952" s="442"/>
      <c r="B952" s="442"/>
      <c r="G952" s="483"/>
      <c r="H952" s="443"/>
    </row>
    <row r="953">
      <c r="A953" s="442"/>
      <c r="B953" s="442"/>
      <c r="G953" s="483"/>
      <c r="H953" s="443"/>
    </row>
    <row r="954">
      <c r="A954" s="442"/>
      <c r="B954" s="442"/>
      <c r="G954" s="483"/>
      <c r="H954" s="443"/>
    </row>
    <row r="955">
      <c r="A955" s="442"/>
      <c r="B955" s="442"/>
      <c r="G955" s="483"/>
      <c r="H955" s="443"/>
    </row>
    <row r="956">
      <c r="A956" s="442"/>
      <c r="B956" s="442"/>
      <c r="G956" s="483"/>
      <c r="H956" s="443"/>
    </row>
    <row r="957">
      <c r="A957" s="442"/>
      <c r="B957" s="442"/>
      <c r="G957" s="483"/>
      <c r="H957" s="443"/>
    </row>
    <row r="958">
      <c r="A958" s="442"/>
      <c r="B958" s="442"/>
      <c r="G958" s="483"/>
      <c r="H958" s="443"/>
    </row>
    <row r="959">
      <c r="A959" s="442"/>
      <c r="B959" s="442"/>
      <c r="G959" s="483"/>
      <c r="H959" s="443"/>
    </row>
    <row r="960">
      <c r="A960" s="442"/>
      <c r="B960" s="442"/>
      <c r="G960" s="483"/>
      <c r="H960" s="443"/>
    </row>
    <row r="961">
      <c r="A961" s="442"/>
      <c r="B961" s="442"/>
      <c r="G961" s="483"/>
      <c r="H961" s="443"/>
    </row>
    <row r="962">
      <c r="A962" s="442"/>
      <c r="B962" s="442"/>
      <c r="G962" s="483"/>
      <c r="H962" s="443"/>
    </row>
    <row r="963">
      <c r="A963" s="442"/>
      <c r="B963" s="442"/>
      <c r="G963" s="483"/>
      <c r="H963" s="443"/>
    </row>
    <row r="964">
      <c r="A964" s="442"/>
      <c r="B964" s="442"/>
      <c r="G964" s="483"/>
      <c r="H964" s="443"/>
    </row>
    <row r="965">
      <c r="A965" s="442"/>
      <c r="B965" s="442"/>
      <c r="G965" s="483"/>
      <c r="H965" s="443"/>
    </row>
    <row r="966">
      <c r="A966" s="442"/>
      <c r="B966" s="442"/>
      <c r="G966" s="483"/>
      <c r="H966" s="443"/>
    </row>
    <row r="967">
      <c r="A967" s="442"/>
      <c r="B967" s="442"/>
      <c r="G967" s="483"/>
      <c r="H967" s="443"/>
    </row>
    <row r="968">
      <c r="A968" s="442"/>
      <c r="B968" s="442"/>
      <c r="G968" s="483"/>
      <c r="H968" s="443"/>
    </row>
    <row r="969">
      <c r="A969" s="442"/>
      <c r="B969" s="442"/>
      <c r="G969" s="483"/>
      <c r="H969" s="443"/>
    </row>
    <row r="970">
      <c r="A970" s="442"/>
      <c r="B970" s="442"/>
      <c r="G970" s="483"/>
      <c r="H970" s="443"/>
    </row>
    <row r="971">
      <c r="A971" s="442"/>
      <c r="B971" s="442"/>
      <c r="G971" s="483"/>
      <c r="H971" s="443"/>
    </row>
    <row r="972">
      <c r="A972" s="442"/>
      <c r="B972" s="442"/>
      <c r="G972" s="483"/>
      <c r="H972" s="443"/>
    </row>
    <row r="973">
      <c r="A973" s="442"/>
      <c r="B973" s="442"/>
      <c r="G973" s="483"/>
      <c r="H973" s="443"/>
    </row>
    <row r="974">
      <c r="A974" s="442"/>
      <c r="B974" s="442"/>
      <c r="G974" s="483"/>
      <c r="H974" s="443"/>
    </row>
    <row r="975">
      <c r="A975" s="442"/>
      <c r="B975" s="442"/>
      <c r="G975" s="483"/>
      <c r="H975" s="443"/>
    </row>
    <row r="976">
      <c r="A976" s="442"/>
      <c r="B976" s="442"/>
      <c r="G976" s="483"/>
      <c r="H976" s="443"/>
    </row>
    <row r="977">
      <c r="A977" s="442"/>
      <c r="B977" s="442"/>
      <c r="G977" s="483"/>
      <c r="H977" s="443"/>
    </row>
    <row r="978">
      <c r="A978" s="442"/>
      <c r="B978" s="442"/>
      <c r="G978" s="483"/>
      <c r="H978" s="443"/>
    </row>
    <row r="979">
      <c r="A979" s="442"/>
      <c r="B979" s="442"/>
      <c r="G979" s="483"/>
      <c r="H979" s="443"/>
    </row>
    <row r="980">
      <c r="A980" s="442"/>
      <c r="B980" s="442"/>
      <c r="G980" s="483"/>
      <c r="H980" s="443"/>
    </row>
    <row r="981">
      <c r="A981" s="442"/>
      <c r="B981" s="442"/>
      <c r="G981" s="483"/>
      <c r="H981" s="443"/>
    </row>
    <row r="982">
      <c r="A982" s="442"/>
      <c r="B982" s="442"/>
      <c r="G982" s="483"/>
      <c r="H982" s="443"/>
    </row>
    <row r="983">
      <c r="A983" s="442"/>
      <c r="B983" s="442"/>
      <c r="G983" s="483"/>
      <c r="H983" s="443"/>
    </row>
    <row r="984">
      <c r="A984" s="442"/>
      <c r="B984" s="442"/>
      <c r="G984" s="483"/>
      <c r="H984" s="443"/>
    </row>
    <row r="985">
      <c r="A985" s="442"/>
      <c r="B985" s="442"/>
      <c r="G985" s="483"/>
      <c r="H985" s="443"/>
    </row>
    <row r="986">
      <c r="A986" s="442"/>
      <c r="B986" s="442"/>
      <c r="G986" s="483"/>
      <c r="H986" s="443"/>
    </row>
    <row r="987">
      <c r="A987" s="442"/>
      <c r="B987" s="442"/>
      <c r="G987" s="483"/>
      <c r="H987" s="443"/>
    </row>
    <row r="988">
      <c r="A988" s="442"/>
      <c r="B988" s="442"/>
      <c r="G988" s="483"/>
      <c r="H988" s="443"/>
    </row>
  </sheetData>
  <hyperlinks>
    <hyperlink r:id="rId1" ref="G2"/>
    <hyperlink r:id="rId2" ref="H2"/>
    <hyperlink r:id="rId3" ref="G3"/>
    <hyperlink r:id="rId4" ref="H3"/>
    <hyperlink r:id="rId5" ref="G4"/>
    <hyperlink r:id="rId6" ref="H4"/>
    <hyperlink r:id="rId7" ref="H5"/>
    <hyperlink r:id="rId8" ref="H6"/>
  </hyperlinks>
  <drawing r:id="rId9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11"/>
    <col customWidth="1" min="2" max="2" width="6.11"/>
    <col customWidth="1" min="3" max="3" width="22.44"/>
    <col customWidth="1" min="4" max="4" width="48.11"/>
    <col customWidth="1" min="5" max="5" width="6.56"/>
    <col customWidth="1" min="6" max="6" width="6.33"/>
    <col customWidth="1" min="7" max="7" width="8.67"/>
    <col customWidth="1" min="8" max="8" width="64.0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5" t="s">
        <v>1054</v>
      </c>
      <c r="H1" s="476" t="s">
        <v>1257</v>
      </c>
      <c r="I1" s="429" t="s">
        <v>1057</v>
      </c>
    </row>
    <row r="2">
      <c r="A2" s="38">
        <v>46412.0</v>
      </c>
      <c r="B2" s="484">
        <v>1.0</v>
      </c>
      <c r="C2" s="402" t="s">
        <v>1096</v>
      </c>
      <c r="D2" s="485" t="s">
        <v>1512</v>
      </c>
      <c r="E2" s="58"/>
      <c r="F2" s="110"/>
      <c r="G2" s="110"/>
      <c r="H2" s="432" t="s">
        <v>1513</v>
      </c>
    </row>
    <row r="3">
      <c r="A3" s="38">
        <v>46413.0</v>
      </c>
      <c r="B3" s="484">
        <v>2.0</v>
      </c>
      <c r="C3" s="486" t="s">
        <v>1102</v>
      </c>
      <c r="D3" s="485" t="s">
        <v>1514</v>
      </c>
      <c r="E3" s="58"/>
      <c r="F3" s="110"/>
      <c r="G3" s="110"/>
      <c r="H3" s="432" t="s">
        <v>1515</v>
      </c>
    </row>
    <row r="4">
      <c r="A4" s="38">
        <v>46414.0</v>
      </c>
      <c r="B4" s="484">
        <v>3.0</v>
      </c>
      <c r="C4" s="486" t="s">
        <v>1102</v>
      </c>
      <c r="D4" s="485" t="s">
        <v>1516</v>
      </c>
      <c r="E4" s="110"/>
      <c r="F4" s="110"/>
      <c r="G4" s="110"/>
      <c r="H4" s="432" t="s">
        <v>1517</v>
      </c>
    </row>
    <row r="5">
      <c r="A5" s="38">
        <v>46415.0</v>
      </c>
      <c r="B5" s="484">
        <v>4.0</v>
      </c>
      <c r="C5" s="486" t="s">
        <v>1102</v>
      </c>
      <c r="D5" s="485" t="s">
        <v>1518</v>
      </c>
      <c r="E5" s="110"/>
      <c r="F5" s="110"/>
      <c r="G5" s="110"/>
      <c r="H5" s="432" t="s">
        <v>1519</v>
      </c>
    </row>
    <row r="6">
      <c r="A6" s="38">
        <v>46416.0</v>
      </c>
      <c r="B6" s="484">
        <v>5.0</v>
      </c>
      <c r="C6" s="486" t="s">
        <v>1114</v>
      </c>
      <c r="D6" s="485" t="s">
        <v>1520</v>
      </c>
      <c r="E6" s="110"/>
      <c r="F6" s="110"/>
      <c r="G6" s="110"/>
      <c r="H6" s="432" t="s">
        <v>1521</v>
      </c>
    </row>
    <row r="7">
      <c r="A7" s="38">
        <v>46417.0</v>
      </c>
      <c r="B7" s="484">
        <v>6.0</v>
      </c>
      <c r="C7" s="486" t="s">
        <v>1114</v>
      </c>
      <c r="D7" s="485" t="s">
        <v>1522</v>
      </c>
      <c r="E7" s="110"/>
      <c r="F7" s="110"/>
      <c r="G7" s="110"/>
      <c r="H7" s="432" t="s">
        <v>1523</v>
      </c>
    </row>
    <row r="8">
      <c r="A8" s="38">
        <v>46418.0</v>
      </c>
      <c r="B8" s="484">
        <v>7.0</v>
      </c>
      <c r="C8" s="486" t="s">
        <v>1114</v>
      </c>
      <c r="D8" s="485" t="s">
        <v>1524</v>
      </c>
      <c r="E8" s="110"/>
      <c r="F8" s="110"/>
      <c r="G8" s="110"/>
      <c r="H8" s="432" t="s">
        <v>1525</v>
      </c>
    </row>
    <row r="9">
      <c r="A9" s="38">
        <v>46419.0</v>
      </c>
      <c r="B9" s="484">
        <v>8.0</v>
      </c>
      <c r="C9" s="486" t="s">
        <v>1134</v>
      </c>
      <c r="D9" s="485" t="s">
        <v>1526</v>
      </c>
      <c r="E9" s="110"/>
      <c r="F9" s="110"/>
      <c r="G9" s="110"/>
      <c r="H9" s="432" t="s">
        <v>1527</v>
      </c>
    </row>
    <row r="10">
      <c r="A10" s="38">
        <v>46420.0</v>
      </c>
      <c r="B10" s="484">
        <v>9.0</v>
      </c>
      <c r="C10" s="486" t="s">
        <v>1134</v>
      </c>
      <c r="D10" s="485" t="s">
        <v>1528</v>
      </c>
      <c r="E10" s="110"/>
      <c r="F10" s="110"/>
      <c r="G10" s="110"/>
      <c r="H10" s="432" t="s">
        <v>1529</v>
      </c>
    </row>
    <row r="11">
      <c r="A11" s="38">
        <v>46421.0</v>
      </c>
      <c r="B11" s="484">
        <v>10.0</v>
      </c>
      <c r="C11" s="486" t="s">
        <v>1134</v>
      </c>
      <c r="D11" s="485" t="s">
        <v>1534</v>
      </c>
      <c r="E11" s="110"/>
      <c r="F11" s="110"/>
      <c r="G11" s="110"/>
      <c r="H11" s="432" t="s">
        <v>1535</v>
      </c>
    </row>
    <row r="12">
      <c r="A12" s="38">
        <v>46422.0</v>
      </c>
      <c r="B12" s="484">
        <v>11.0</v>
      </c>
      <c r="C12" s="486" t="s">
        <v>1134</v>
      </c>
      <c r="D12" s="485" t="s">
        <v>1538</v>
      </c>
      <c r="E12" s="110"/>
      <c r="F12" s="110"/>
      <c r="G12" s="110"/>
      <c r="H12" s="432" t="s">
        <v>1540</v>
      </c>
    </row>
    <row r="13">
      <c r="A13" s="38">
        <v>46423.0</v>
      </c>
      <c r="B13" s="484">
        <v>12.0</v>
      </c>
      <c r="C13" s="486" t="s">
        <v>1134</v>
      </c>
      <c r="D13" s="485" t="s">
        <v>1544</v>
      </c>
      <c r="E13" s="110"/>
      <c r="F13" s="110"/>
      <c r="G13" s="110"/>
      <c r="H13" s="432" t="s">
        <v>1546</v>
      </c>
    </row>
    <row r="14">
      <c r="A14" s="38">
        <v>46424.0</v>
      </c>
      <c r="B14" s="484">
        <v>13.0</v>
      </c>
      <c r="C14" s="486" t="s">
        <v>1155</v>
      </c>
      <c r="D14" s="485" t="s">
        <v>1551</v>
      </c>
      <c r="E14" s="110"/>
      <c r="F14" s="110"/>
      <c r="G14" s="110"/>
      <c r="H14" s="432" t="s">
        <v>1552</v>
      </c>
    </row>
    <row r="15">
      <c r="A15" s="38">
        <v>46425.0</v>
      </c>
      <c r="B15" s="484">
        <v>14.0</v>
      </c>
      <c r="C15" s="486" t="s">
        <v>1155</v>
      </c>
      <c r="D15" s="485" t="s">
        <v>1553</v>
      </c>
      <c r="E15" s="110"/>
      <c r="F15" s="110"/>
      <c r="G15" s="110"/>
      <c r="H15" s="432" t="s">
        <v>1554</v>
      </c>
    </row>
    <row r="16">
      <c r="A16" s="38">
        <v>46426.0</v>
      </c>
      <c r="B16" s="484">
        <v>15.0</v>
      </c>
      <c r="C16" s="486" t="s">
        <v>649</v>
      </c>
      <c r="D16" s="485" t="s">
        <v>1555</v>
      </c>
      <c r="E16" s="110"/>
      <c r="F16" s="110"/>
      <c r="G16" s="110"/>
      <c r="H16" s="432" t="s">
        <v>1556</v>
      </c>
    </row>
    <row r="17">
      <c r="A17" s="38">
        <v>46427.0</v>
      </c>
      <c r="B17" s="484">
        <v>16.0</v>
      </c>
      <c r="C17" s="486" t="s">
        <v>649</v>
      </c>
      <c r="D17" s="485" t="s">
        <v>1557</v>
      </c>
      <c r="E17" s="110"/>
      <c r="F17" s="110"/>
      <c r="G17" s="110"/>
      <c r="H17" s="432" t="s">
        <v>1558</v>
      </c>
    </row>
    <row r="18">
      <c r="A18" s="38">
        <v>46428.0</v>
      </c>
      <c r="B18" s="484">
        <v>17.0</v>
      </c>
      <c r="C18" s="489" t="s">
        <v>649</v>
      </c>
      <c r="D18" s="490" t="s">
        <v>1559</v>
      </c>
      <c r="E18" s="110"/>
      <c r="F18" s="110"/>
      <c r="G18" s="110"/>
      <c r="H18" s="432" t="s">
        <v>1560</v>
      </c>
    </row>
    <row r="19">
      <c r="A19" s="38">
        <v>46429.0</v>
      </c>
      <c r="B19" s="484">
        <v>18.0</v>
      </c>
      <c r="C19" s="406" t="s">
        <v>1201</v>
      </c>
      <c r="D19" s="485" t="s">
        <v>1561</v>
      </c>
      <c r="E19" s="110"/>
      <c r="F19" s="110"/>
      <c r="G19" s="110"/>
      <c r="H19" s="432" t="s">
        <v>1562</v>
      </c>
    </row>
    <row r="20">
      <c r="A20" s="38">
        <v>46430.0</v>
      </c>
      <c r="B20" s="484">
        <v>19.0</v>
      </c>
      <c r="C20" s="406" t="s">
        <v>1205</v>
      </c>
      <c r="D20" s="490" t="s">
        <v>1563</v>
      </c>
      <c r="E20" s="110"/>
      <c r="F20" s="110"/>
      <c r="G20" s="110"/>
      <c r="H20" s="491"/>
    </row>
    <row r="21">
      <c r="A21" s="38">
        <v>46431.0</v>
      </c>
      <c r="B21" s="484">
        <v>20.0</v>
      </c>
      <c r="C21" s="406" t="s">
        <v>1212</v>
      </c>
      <c r="D21" s="490"/>
      <c r="E21" s="110"/>
      <c r="F21" s="110"/>
      <c r="G21" s="110"/>
      <c r="H21" s="491"/>
    </row>
    <row r="22">
      <c r="A22" s="350"/>
      <c r="B22" s="350"/>
      <c r="D22" s="389"/>
      <c r="H22" s="443"/>
    </row>
    <row r="23">
      <c r="A23" s="350"/>
      <c r="B23" s="350"/>
      <c r="H23" s="443"/>
    </row>
    <row r="24">
      <c r="A24" s="350"/>
      <c r="B24" s="350"/>
      <c r="H24" s="443"/>
    </row>
    <row r="25">
      <c r="A25" s="350"/>
      <c r="B25" s="350"/>
      <c r="H25" s="443"/>
    </row>
    <row r="26">
      <c r="A26" s="350"/>
      <c r="B26" s="350"/>
      <c r="H26" s="443"/>
    </row>
    <row r="27">
      <c r="A27" s="350"/>
      <c r="B27" s="350"/>
      <c r="H27" s="443"/>
    </row>
    <row r="28">
      <c r="A28" s="350"/>
      <c r="B28" s="350"/>
      <c r="H28" s="443"/>
    </row>
    <row r="29">
      <c r="A29" s="350"/>
      <c r="B29" s="350"/>
      <c r="H29" s="443"/>
    </row>
    <row r="30">
      <c r="A30" s="350"/>
      <c r="B30" s="350"/>
      <c r="H30" s="443"/>
    </row>
    <row r="31">
      <c r="A31" s="350"/>
      <c r="B31" s="350"/>
      <c r="H31" s="443"/>
    </row>
    <row r="32">
      <c r="A32" s="350"/>
      <c r="B32" s="350"/>
      <c r="H32" s="443"/>
    </row>
    <row r="33">
      <c r="A33" s="350"/>
      <c r="B33" s="350"/>
      <c r="D33" s="492"/>
      <c r="H33" s="443"/>
    </row>
    <row r="34">
      <c r="A34" s="350"/>
      <c r="B34" s="350"/>
      <c r="C34" s="415"/>
      <c r="D34" s="415"/>
      <c r="F34" s="415"/>
      <c r="H34" s="443"/>
    </row>
    <row r="35">
      <c r="A35" s="350"/>
      <c r="B35" s="350"/>
      <c r="C35" s="415"/>
      <c r="D35" s="415"/>
      <c r="F35" s="415"/>
      <c r="H35" s="443"/>
    </row>
    <row r="36">
      <c r="A36" s="350"/>
      <c r="B36" s="350"/>
      <c r="C36" s="415"/>
      <c r="D36" s="415"/>
      <c r="F36" s="415"/>
      <c r="H36" s="443"/>
    </row>
    <row r="37">
      <c r="A37" s="350"/>
      <c r="B37" s="350"/>
      <c r="C37" s="415"/>
      <c r="D37" s="415"/>
      <c r="F37" s="415"/>
      <c r="H37" s="443"/>
    </row>
    <row r="38">
      <c r="A38" s="350"/>
      <c r="B38" s="350"/>
      <c r="C38" s="415"/>
      <c r="D38" s="415"/>
      <c r="F38" s="415"/>
      <c r="H38" s="443"/>
    </row>
    <row r="39">
      <c r="A39" s="350"/>
      <c r="B39" s="350"/>
      <c r="C39" s="415"/>
      <c r="D39" s="415"/>
      <c r="F39" s="415"/>
      <c r="H39" s="443"/>
    </row>
    <row r="40">
      <c r="A40" s="350"/>
      <c r="B40" s="350"/>
      <c r="C40" s="415"/>
      <c r="D40" s="415"/>
      <c r="F40" s="415"/>
      <c r="H40" s="443"/>
    </row>
    <row r="41">
      <c r="A41" s="350"/>
      <c r="B41" s="350"/>
      <c r="C41" s="415"/>
      <c r="D41" s="415"/>
      <c r="F41" s="415"/>
      <c r="H41" s="443"/>
    </row>
    <row r="42">
      <c r="A42" s="350"/>
      <c r="B42" s="350"/>
      <c r="C42" s="415"/>
      <c r="D42" s="415"/>
      <c r="F42" s="415"/>
      <c r="H42" s="443"/>
    </row>
    <row r="43">
      <c r="A43" s="350"/>
      <c r="B43" s="350"/>
      <c r="C43" s="415"/>
      <c r="D43" s="415"/>
      <c r="F43" s="415"/>
      <c r="H43" s="443"/>
    </row>
    <row r="44">
      <c r="A44" s="350"/>
      <c r="B44" s="350"/>
      <c r="C44" s="415"/>
      <c r="D44" s="415"/>
      <c r="F44" s="415"/>
      <c r="H44" s="443"/>
    </row>
    <row r="45">
      <c r="A45" s="350"/>
      <c r="B45" s="350"/>
      <c r="C45" s="415"/>
      <c r="D45" s="415"/>
      <c r="F45" s="415"/>
      <c r="H45" s="443"/>
    </row>
    <row r="46">
      <c r="A46" s="350"/>
      <c r="B46" s="350"/>
      <c r="C46" s="415"/>
      <c r="D46" s="415"/>
      <c r="F46" s="415"/>
      <c r="H46" s="443"/>
    </row>
    <row r="47">
      <c r="A47" s="350"/>
      <c r="B47" s="350"/>
      <c r="C47" s="415"/>
      <c r="D47" s="415"/>
      <c r="F47" s="415"/>
      <c r="H47" s="443"/>
    </row>
    <row r="48">
      <c r="A48" s="350"/>
      <c r="B48" s="350"/>
      <c r="C48" s="415"/>
      <c r="D48" s="415"/>
      <c r="F48" s="415"/>
      <c r="H48" s="443"/>
    </row>
    <row r="49">
      <c r="A49" s="350"/>
      <c r="B49" s="350"/>
      <c r="H49" s="443"/>
    </row>
    <row r="50">
      <c r="A50" s="350"/>
      <c r="B50" s="350"/>
      <c r="H50" s="443"/>
    </row>
    <row r="51">
      <c r="A51" s="350"/>
      <c r="B51" s="350"/>
      <c r="H51" s="443"/>
    </row>
    <row r="52">
      <c r="A52" s="350"/>
      <c r="B52" s="350"/>
      <c r="C52" s="415"/>
      <c r="D52" s="415"/>
      <c r="E52" s="415"/>
      <c r="H52" s="443"/>
    </row>
    <row r="53">
      <c r="A53" s="350"/>
      <c r="B53" s="350"/>
      <c r="C53" s="415"/>
      <c r="D53" s="415"/>
      <c r="E53" s="415"/>
      <c r="H53" s="443"/>
    </row>
    <row r="54">
      <c r="A54" s="350"/>
      <c r="B54" s="350"/>
      <c r="C54" s="415"/>
      <c r="D54" s="415"/>
      <c r="E54" s="415"/>
      <c r="H54" s="443"/>
    </row>
    <row r="55">
      <c r="A55" s="350"/>
      <c r="B55" s="350"/>
      <c r="C55" s="415"/>
      <c r="D55" s="415"/>
      <c r="E55" s="415"/>
      <c r="H55" s="443"/>
    </row>
    <row r="56">
      <c r="A56" s="350"/>
      <c r="B56" s="350"/>
      <c r="C56" s="415"/>
      <c r="D56" s="415"/>
      <c r="E56" s="415"/>
      <c r="H56" s="443"/>
    </row>
    <row r="57">
      <c r="A57" s="350"/>
      <c r="B57" s="350"/>
      <c r="C57" s="415"/>
      <c r="D57" s="415"/>
      <c r="E57" s="415"/>
      <c r="H57" s="443"/>
    </row>
    <row r="58">
      <c r="A58" s="350"/>
      <c r="B58" s="350"/>
      <c r="C58" s="415"/>
      <c r="D58" s="415"/>
      <c r="E58" s="415"/>
      <c r="H58" s="443"/>
    </row>
    <row r="59">
      <c r="A59" s="350"/>
      <c r="B59" s="350"/>
      <c r="C59" s="415"/>
      <c r="D59" s="415"/>
      <c r="E59" s="415"/>
      <c r="H59" s="443"/>
    </row>
    <row r="60">
      <c r="A60" s="350"/>
      <c r="B60" s="350"/>
      <c r="C60" s="415"/>
      <c r="D60" s="415"/>
      <c r="E60" s="415"/>
      <c r="H60" s="443"/>
    </row>
    <row r="61">
      <c r="A61" s="350"/>
      <c r="B61" s="350"/>
      <c r="C61" s="415"/>
      <c r="D61" s="415"/>
      <c r="E61" s="415"/>
      <c r="H61" s="443"/>
    </row>
    <row r="62">
      <c r="A62" s="350"/>
      <c r="B62" s="350"/>
      <c r="C62" s="415"/>
      <c r="D62" s="415"/>
      <c r="E62" s="415"/>
      <c r="H62" s="443"/>
    </row>
    <row r="63">
      <c r="A63" s="350"/>
      <c r="B63" s="350"/>
      <c r="C63" s="415"/>
      <c r="D63" s="415"/>
      <c r="E63" s="415"/>
      <c r="H63" s="443"/>
    </row>
    <row r="64">
      <c r="A64" s="350"/>
      <c r="B64" s="350"/>
      <c r="C64" s="415"/>
      <c r="D64" s="415"/>
      <c r="E64" s="415"/>
      <c r="H64" s="443"/>
    </row>
    <row r="65">
      <c r="A65" s="350"/>
      <c r="B65" s="350"/>
      <c r="C65" s="415"/>
      <c r="D65" s="415"/>
      <c r="E65" s="415"/>
      <c r="H65" s="443"/>
    </row>
    <row r="66">
      <c r="A66" s="350"/>
      <c r="B66" s="350"/>
      <c r="C66" s="415"/>
      <c r="D66" s="415"/>
      <c r="E66" s="415"/>
      <c r="H66" s="443"/>
    </row>
    <row r="67">
      <c r="A67" s="350"/>
      <c r="B67" s="350"/>
      <c r="C67" s="415"/>
      <c r="D67" s="415"/>
      <c r="E67" s="415"/>
      <c r="H67" s="443"/>
    </row>
    <row r="68">
      <c r="A68" s="350"/>
      <c r="B68" s="350"/>
      <c r="H68" s="443"/>
    </row>
    <row r="69">
      <c r="A69" s="350"/>
      <c r="B69" s="350"/>
      <c r="H69" s="443"/>
    </row>
    <row r="70">
      <c r="A70" s="350"/>
      <c r="B70" s="350"/>
      <c r="H70" s="443"/>
    </row>
    <row r="71">
      <c r="A71" s="350"/>
      <c r="B71" s="350"/>
      <c r="H71" s="443"/>
    </row>
    <row r="72">
      <c r="A72" s="350"/>
      <c r="B72" s="350"/>
      <c r="H72" s="443"/>
    </row>
    <row r="73">
      <c r="A73" s="350"/>
      <c r="B73" s="350"/>
      <c r="H73" s="443"/>
    </row>
    <row r="74">
      <c r="A74" s="350"/>
      <c r="B74" s="350"/>
      <c r="H74" s="443"/>
    </row>
    <row r="75">
      <c r="A75" s="350"/>
      <c r="B75" s="350"/>
      <c r="H75" s="443"/>
    </row>
    <row r="76">
      <c r="A76" s="350"/>
      <c r="B76" s="350"/>
      <c r="H76" s="443"/>
    </row>
    <row r="77">
      <c r="A77" s="350"/>
      <c r="B77" s="350"/>
      <c r="H77" s="443"/>
    </row>
    <row r="78">
      <c r="A78" s="350"/>
      <c r="B78" s="350"/>
      <c r="H78" s="443"/>
    </row>
    <row r="79">
      <c r="A79" s="350"/>
      <c r="B79" s="350"/>
      <c r="H79" s="443"/>
    </row>
    <row r="80">
      <c r="A80" s="350"/>
      <c r="B80" s="350"/>
      <c r="H80" s="443"/>
    </row>
    <row r="81">
      <c r="A81" s="350"/>
      <c r="B81" s="350"/>
      <c r="H81" s="443"/>
    </row>
    <row r="82">
      <c r="A82" s="350"/>
      <c r="B82" s="350"/>
      <c r="H82" s="443"/>
    </row>
    <row r="83">
      <c r="A83" s="350"/>
      <c r="B83" s="350"/>
      <c r="H83" s="443"/>
    </row>
    <row r="84">
      <c r="A84" s="350"/>
      <c r="B84" s="350"/>
      <c r="H84" s="443"/>
    </row>
    <row r="85">
      <c r="A85" s="350"/>
      <c r="B85" s="350"/>
      <c r="H85" s="443"/>
    </row>
    <row r="86">
      <c r="A86" s="350"/>
      <c r="B86" s="350"/>
      <c r="H86" s="443"/>
    </row>
    <row r="87">
      <c r="A87" s="350"/>
      <c r="B87" s="350"/>
      <c r="H87" s="443"/>
    </row>
    <row r="88">
      <c r="A88" s="350"/>
      <c r="B88" s="350"/>
      <c r="H88" s="443"/>
    </row>
    <row r="89">
      <c r="A89" s="350"/>
      <c r="B89" s="350"/>
      <c r="H89" s="443"/>
    </row>
    <row r="90">
      <c r="A90" s="350"/>
      <c r="B90" s="350"/>
      <c r="H90" s="443"/>
    </row>
    <row r="91">
      <c r="A91" s="350"/>
      <c r="B91" s="350"/>
      <c r="H91" s="443"/>
    </row>
    <row r="92">
      <c r="A92" s="350"/>
      <c r="B92" s="350"/>
      <c r="H92" s="443"/>
    </row>
    <row r="93">
      <c r="A93" s="350"/>
      <c r="B93" s="350"/>
      <c r="H93" s="443"/>
    </row>
    <row r="94">
      <c r="A94" s="350"/>
      <c r="B94" s="350"/>
      <c r="H94" s="443"/>
    </row>
    <row r="95">
      <c r="A95" s="350"/>
      <c r="B95" s="350"/>
      <c r="H95" s="443"/>
    </row>
    <row r="96">
      <c r="A96" s="350"/>
      <c r="B96" s="350"/>
      <c r="H96" s="443"/>
    </row>
    <row r="97">
      <c r="A97" s="350"/>
      <c r="B97" s="350"/>
      <c r="H97" s="443"/>
    </row>
    <row r="98">
      <c r="A98" s="350"/>
      <c r="B98" s="350"/>
      <c r="H98" s="443"/>
    </row>
    <row r="99">
      <c r="A99" s="350"/>
      <c r="B99" s="350"/>
      <c r="H99" s="443"/>
    </row>
    <row r="100">
      <c r="A100" s="350"/>
      <c r="B100" s="350"/>
      <c r="H100" s="443"/>
    </row>
    <row r="101">
      <c r="A101" s="350"/>
      <c r="B101" s="350"/>
      <c r="H101" s="443"/>
    </row>
    <row r="102">
      <c r="A102" s="350"/>
      <c r="B102" s="350"/>
      <c r="H102" s="443"/>
    </row>
    <row r="103">
      <c r="A103" s="350"/>
      <c r="B103" s="350"/>
      <c r="H103" s="443"/>
    </row>
    <row r="104">
      <c r="A104" s="350"/>
      <c r="B104" s="350"/>
      <c r="H104" s="443"/>
    </row>
    <row r="105">
      <c r="A105" s="350"/>
      <c r="B105" s="350"/>
      <c r="H105" s="443"/>
    </row>
    <row r="106">
      <c r="A106" s="350"/>
      <c r="B106" s="350"/>
      <c r="H106" s="443"/>
    </row>
    <row r="107">
      <c r="A107" s="350"/>
      <c r="B107" s="350"/>
      <c r="H107" s="443"/>
    </row>
    <row r="108">
      <c r="A108" s="350"/>
      <c r="B108" s="350"/>
      <c r="H108" s="443"/>
    </row>
    <row r="109">
      <c r="A109" s="350"/>
      <c r="B109" s="350"/>
      <c r="H109" s="443"/>
    </row>
    <row r="110">
      <c r="A110" s="350"/>
      <c r="B110" s="350"/>
      <c r="H110" s="443"/>
    </row>
    <row r="111">
      <c r="A111" s="350"/>
      <c r="B111" s="350"/>
      <c r="H111" s="443"/>
    </row>
    <row r="112">
      <c r="A112" s="350"/>
      <c r="B112" s="350"/>
      <c r="H112" s="443"/>
    </row>
    <row r="113">
      <c r="A113" s="350"/>
      <c r="B113" s="350"/>
      <c r="H113" s="443"/>
    </row>
    <row r="114">
      <c r="A114" s="350"/>
      <c r="B114" s="350"/>
      <c r="H114" s="443"/>
    </row>
    <row r="115">
      <c r="A115" s="350"/>
      <c r="B115" s="350"/>
      <c r="H115" s="443"/>
    </row>
    <row r="116">
      <c r="A116" s="350"/>
      <c r="B116" s="350"/>
      <c r="H116" s="443"/>
    </row>
    <row r="117">
      <c r="A117" s="350"/>
      <c r="B117" s="350"/>
      <c r="H117" s="443"/>
    </row>
    <row r="118">
      <c r="A118" s="350"/>
      <c r="B118" s="350"/>
      <c r="H118" s="443"/>
    </row>
    <row r="119">
      <c r="A119" s="350"/>
      <c r="B119" s="350"/>
      <c r="H119" s="443"/>
    </row>
    <row r="120">
      <c r="A120" s="350"/>
      <c r="B120" s="350"/>
      <c r="H120" s="443"/>
    </row>
    <row r="121">
      <c r="A121" s="350"/>
      <c r="B121" s="350"/>
      <c r="H121" s="443"/>
    </row>
    <row r="122">
      <c r="A122" s="350"/>
      <c r="B122" s="350"/>
      <c r="H122" s="443"/>
    </row>
    <row r="123">
      <c r="A123" s="350"/>
      <c r="B123" s="350"/>
      <c r="H123" s="443"/>
    </row>
    <row r="124">
      <c r="A124" s="350"/>
      <c r="B124" s="350"/>
      <c r="H124" s="443"/>
    </row>
    <row r="125">
      <c r="A125" s="350"/>
      <c r="B125" s="350"/>
      <c r="H125" s="443"/>
    </row>
    <row r="126">
      <c r="A126" s="350"/>
      <c r="B126" s="350"/>
      <c r="H126" s="443"/>
    </row>
    <row r="127">
      <c r="A127" s="350"/>
      <c r="B127" s="350"/>
      <c r="H127" s="443"/>
    </row>
    <row r="128">
      <c r="A128" s="350"/>
      <c r="B128" s="350"/>
      <c r="H128" s="443"/>
    </row>
    <row r="129">
      <c r="A129" s="350"/>
      <c r="B129" s="350"/>
      <c r="H129" s="443"/>
    </row>
    <row r="130">
      <c r="A130" s="350"/>
      <c r="B130" s="350"/>
      <c r="H130" s="443"/>
    </row>
    <row r="131">
      <c r="A131" s="350"/>
      <c r="B131" s="350"/>
      <c r="H131" s="443"/>
    </row>
    <row r="132">
      <c r="A132" s="350"/>
      <c r="B132" s="350"/>
      <c r="H132" s="443"/>
    </row>
    <row r="133">
      <c r="A133" s="350"/>
      <c r="B133" s="350"/>
      <c r="H133" s="443"/>
    </row>
    <row r="134">
      <c r="A134" s="350"/>
      <c r="B134" s="350"/>
      <c r="H134" s="443"/>
    </row>
    <row r="135">
      <c r="A135" s="350"/>
      <c r="B135" s="350"/>
      <c r="H135" s="443"/>
    </row>
    <row r="136">
      <c r="A136" s="350"/>
      <c r="B136" s="350"/>
      <c r="H136" s="443"/>
    </row>
    <row r="137">
      <c r="A137" s="350"/>
      <c r="B137" s="350"/>
      <c r="H137" s="443"/>
    </row>
    <row r="138">
      <c r="A138" s="350"/>
      <c r="B138" s="350"/>
      <c r="H138" s="443"/>
    </row>
    <row r="139">
      <c r="A139" s="350"/>
      <c r="B139" s="350"/>
      <c r="H139" s="443"/>
    </row>
    <row r="140">
      <c r="A140" s="350"/>
      <c r="B140" s="350"/>
      <c r="H140" s="443"/>
    </row>
    <row r="141">
      <c r="A141" s="350"/>
      <c r="B141" s="350"/>
      <c r="H141" s="443"/>
    </row>
    <row r="142">
      <c r="A142" s="350"/>
      <c r="B142" s="350"/>
      <c r="H142" s="443"/>
    </row>
    <row r="143">
      <c r="A143" s="350"/>
      <c r="B143" s="350"/>
      <c r="H143" s="443"/>
    </row>
    <row r="144">
      <c r="A144" s="350"/>
      <c r="B144" s="350"/>
      <c r="H144" s="443"/>
    </row>
    <row r="145">
      <c r="A145" s="350"/>
      <c r="B145" s="350"/>
      <c r="H145" s="443"/>
    </row>
    <row r="146">
      <c r="A146" s="350"/>
      <c r="B146" s="350"/>
      <c r="H146" s="443"/>
    </row>
    <row r="147">
      <c r="A147" s="350"/>
      <c r="B147" s="350"/>
      <c r="H147" s="443"/>
    </row>
    <row r="148">
      <c r="A148" s="350"/>
      <c r="B148" s="350"/>
      <c r="H148" s="443"/>
    </row>
    <row r="149">
      <c r="A149" s="350"/>
      <c r="B149" s="350"/>
      <c r="H149" s="443"/>
    </row>
    <row r="150">
      <c r="A150" s="350"/>
      <c r="B150" s="350"/>
      <c r="H150" s="443"/>
    </row>
    <row r="151">
      <c r="A151" s="350"/>
      <c r="B151" s="350"/>
      <c r="H151" s="443"/>
    </row>
    <row r="152">
      <c r="A152" s="350"/>
      <c r="B152" s="350"/>
      <c r="H152" s="443"/>
    </row>
    <row r="153">
      <c r="A153" s="350"/>
      <c r="B153" s="350"/>
      <c r="H153" s="443"/>
    </row>
    <row r="154">
      <c r="A154" s="350"/>
      <c r="B154" s="350"/>
      <c r="H154" s="443"/>
    </row>
    <row r="155">
      <c r="A155" s="350"/>
      <c r="B155" s="350"/>
      <c r="H155" s="443"/>
    </row>
    <row r="156">
      <c r="A156" s="350"/>
      <c r="B156" s="350"/>
      <c r="H156" s="443"/>
    </row>
    <row r="157">
      <c r="A157" s="350"/>
      <c r="B157" s="350"/>
      <c r="H157" s="443"/>
    </row>
    <row r="158">
      <c r="A158" s="350"/>
      <c r="B158" s="350"/>
      <c r="H158" s="443"/>
    </row>
    <row r="159">
      <c r="A159" s="350"/>
      <c r="B159" s="350"/>
      <c r="H159" s="443"/>
    </row>
    <row r="160">
      <c r="A160" s="350"/>
      <c r="B160" s="350"/>
      <c r="H160" s="443"/>
    </row>
    <row r="161">
      <c r="A161" s="350"/>
      <c r="B161" s="350"/>
      <c r="H161" s="443"/>
    </row>
    <row r="162">
      <c r="A162" s="350"/>
      <c r="B162" s="350"/>
      <c r="H162" s="443"/>
    </row>
    <row r="163">
      <c r="A163" s="350"/>
      <c r="B163" s="350"/>
      <c r="H163" s="443"/>
    </row>
    <row r="164">
      <c r="A164" s="350"/>
      <c r="B164" s="350"/>
      <c r="H164" s="443"/>
    </row>
    <row r="165">
      <c r="A165" s="350"/>
      <c r="B165" s="350"/>
      <c r="H165" s="443"/>
    </row>
    <row r="166">
      <c r="A166" s="350"/>
      <c r="B166" s="350"/>
      <c r="H166" s="443"/>
    </row>
    <row r="167">
      <c r="A167" s="350"/>
      <c r="B167" s="350"/>
      <c r="H167" s="443"/>
    </row>
    <row r="168">
      <c r="A168" s="350"/>
      <c r="B168" s="350"/>
      <c r="H168" s="443"/>
    </row>
    <row r="169">
      <c r="A169" s="350"/>
      <c r="B169" s="350"/>
      <c r="H169" s="443"/>
    </row>
    <row r="170">
      <c r="A170" s="350"/>
      <c r="B170" s="350"/>
      <c r="H170" s="443"/>
    </row>
    <row r="171">
      <c r="A171" s="350"/>
      <c r="B171" s="350"/>
      <c r="H171" s="443"/>
    </row>
    <row r="172">
      <c r="A172" s="350"/>
      <c r="B172" s="350"/>
      <c r="H172" s="443"/>
    </row>
    <row r="173">
      <c r="A173" s="350"/>
      <c r="B173" s="350"/>
      <c r="H173" s="443"/>
    </row>
    <row r="174">
      <c r="A174" s="350"/>
      <c r="B174" s="350"/>
      <c r="H174" s="443"/>
    </row>
    <row r="175">
      <c r="A175" s="350"/>
      <c r="B175" s="350"/>
      <c r="H175" s="443"/>
    </row>
    <row r="176">
      <c r="A176" s="350"/>
      <c r="B176" s="350"/>
      <c r="H176" s="443"/>
    </row>
    <row r="177">
      <c r="A177" s="350"/>
      <c r="B177" s="350"/>
      <c r="H177" s="443"/>
    </row>
    <row r="178">
      <c r="A178" s="350"/>
      <c r="B178" s="350"/>
      <c r="H178" s="443"/>
    </row>
    <row r="179">
      <c r="A179" s="350"/>
      <c r="B179" s="350"/>
      <c r="H179" s="443"/>
    </row>
    <row r="180">
      <c r="A180" s="350"/>
      <c r="B180" s="350"/>
      <c r="H180" s="443"/>
    </row>
    <row r="181">
      <c r="A181" s="350"/>
      <c r="B181" s="350"/>
      <c r="H181" s="443"/>
    </row>
    <row r="182">
      <c r="A182" s="350"/>
      <c r="B182" s="350"/>
      <c r="H182" s="443"/>
    </row>
    <row r="183">
      <c r="A183" s="350"/>
      <c r="B183" s="350"/>
      <c r="H183" s="443"/>
    </row>
    <row r="184">
      <c r="A184" s="350"/>
      <c r="B184" s="350"/>
      <c r="H184" s="443"/>
    </row>
    <row r="185">
      <c r="A185" s="350"/>
      <c r="B185" s="350"/>
      <c r="H185" s="443"/>
    </row>
    <row r="186">
      <c r="A186" s="350"/>
      <c r="B186" s="350"/>
      <c r="H186" s="443"/>
    </row>
    <row r="187">
      <c r="A187" s="350"/>
      <c r="B187" s="350"/>
      <c r="H187" s="443"/>
    </row>
    <row r="188">
      <c r="A188" s="350"/>
      <c r="B188" s="350"/>
      <c r="H188" s="443"/>
    </row>
    <row r="189">
      <c r="A189" s="350"/>
      <c r="B189" s="350"/>
      <c r="H189" s="443"/>
    </row>
    <row r="190">
      <c r="A190" s="350"/>
      <c r="B190" s="350"/>
      <c r="H190" s="443"/>
    </row>
    <row r="191">
      <c r="A191" s="350"/>
      <c r="B191" s="350"/>
      <c r="H191" s="443"/>
    </row>
    <row r="192">
      <c r="A192" s="350"/>
      <c r="B192" s="350"/>
      <c r="H192" s="443"/>
    </row>
    <row r="193">
      <c r="A193" s="350"/>
      <c r="B193" s="350"/>
      <c r="H193" s="443"/>
    </row>
    <row r="194">
      <c r="A194" s="350"/>
      <c r="B194" s="350"/>
      <c r="H194" s="443"/>
    </row>
    <row r="195">
      <c r="A195" s="350"/>
      <c r="B195" s="350"/>
      <c r="H195" s="443"/>
    </row>
    <row r="196">
      <c r="A196" s="350"/>
      <c r="B196" s="350"/>
      <c r="H196" s="443"/>
    </row>
    <row r="197">
      <c r="A197" s="350"/>
      <c r="B197" s="350"/>
      <c r="H197" s="443"/>
    </row>
    <row r="198">
      <c r="A198" s="350"/>
      <c r="B198" s="350"/>
      <c r="H198" s="443"/>
    </row>
    <row r="199">
      <c r="A199" s="350"/>
      <c r="B199" s="350"/>
      <c r="H199" s="443"/>
    </row>
    <row r="200">
      <c r="A200" s="350"/>
      <c r="B200" s="350"/>
      <c r="H200" s="443"/>
    </row>
    <row r="201">
      <c r="A201" s="350"/>
      <c r="B201" s="350"/>
      <c r="H201" s="443"/>
    </row>
    <row r="202">
      <c r="A202" s="350"/>
      <c r="B202" s="350"/>
      <c r="H202" s="443"/>
    </row>
    <row r="203">
      <c r="A203" s="350"/>
      <c r="B203" s="350"/>
      <c r="H203" s="443"/>
    </row>
    <row r="204">
      <c r="A204" s="350"/>
      <c r="B204" s="350"/>
      <c r="H204" s="443"/>
    </row>
    <row r="205">
      <c r="A205" s="350"/>
      <c r="B205" s="350"/>
      <c r="H205" s="443"/>
    </row>
    <row r="206">
      <c r="A206" s="350"/>
      <c r="B206" s="350"/>
      <c r="H206" s="443"/>
    </row>
    <row r="207">
      <c r="A207" s="350"/>
      <c r="B207" s="350"/>
      <c r="H207" s="443"/>
    </row>
    <row r="208">
      <c r="A208" s="350"/>
      <c r="B208" s="350"/>
      <c r="H208" s="443"/>
    </row>
    <row r="209">
      <c r="A209" s="350"/>
      <c r="B209" s="350"/>
      <c r="H209" s="443"/>
    </row>
    <row r="210">
      <c r="A210" s="350"/>
      <c r="B210" s="350"/>
      <c r="H210" s="443"/>
    </row>
    <row r="211">
      <c r="A211" s="350"/>
      <c r="B211" s="350"/>
      <c r="H211" s="443"/>
    </row>
    <row r="212">
      <c r="A212" s="350"/>
      <c r="B212" s="350"/>
      <c r="H212" s="443"/>
    </row>
    <row r="213">
      <c r="A213" s="350"/>
      <c r="B213" s="350"/>
      <c r="H213" s="443"/>
    </row>
    <row r="214">
      <c r="A214" s="350"/>
      <c r="B214" s="350"/>
      <c r="H214" s="443"/>
    </row>
    <row r="215">
      <c r="A215" s="350"/>
      <c r="B215" s="350"/>
      <c r="H215" s="443"/>
    </row>
    <row r="216">
      <c r="A216" s="350"/>
      <c r="B216" s="350"/>
      <c r="H216" s="443"/>
    </row>
    <row r="217">
      <c r="A217" s="350"/>
      <c r="B217" s="350"/>
      <c r="H217" s="443"/>
    </row>
    <row r="218">
      <c r="A218" s="350"/>
      <c r="B218" s="350"/>
      <c r="H218" s="443"/>
    </row>
    <row r="219">
      <c r="A219" s="350"/>
      <c r="B219" s="350"/>
      <c r="H219" s="443"/>
    </row>
    <row r="220">
      <c r="A220" s="350"/>
      <c r="B220" s="350"/>
      <c r="H220" s="443"/>
    </row>
    <row r="221">
      <c r="A221" s="350"/>
      <c r="B221" s="350"/>
      <c r="H221" s="443"/>
    </row>
    <row r="222">
      <c r="A222" s="350"/>
      <c r="B222" s="350"/>
      <c r="H222" s="443"/>
    </row>
    <row r="223">
      <c r="A223" s="350"/>
      <c r="B223" s="350"/>
      <c r="H223" s="443"/>
    </row>
    <row r="224">
      <c r="A224" s="350"/>
      <c r="B224" s="350"/>
      <c r="H224" s="443"/>
    </row>
    <row r="225">
      <c r="A225" s="350"/>
      <c r="B225" s="350"/>
      <c r="H225" s="443"/>
    </row>
    <row r="226">
      <c r="A226" s="350"/>
      <c r="B226" s="350"/>
      <c r="H226" s="443"/>
    </row>
    <row r="227">
      <c r="A227" s="350"/>
      <c r="B227" s="350"/>
      <c r="H227" s="443"/>
    </row>
    <row r="228">
      <c r="A228" s="350"/>
      <c r="B228" s="350"/>
      <c r="H228" s="443"/>
    </row>
    <row r="229">
      <c r="A229" s="350"/>
      <c r="B229" s="350"/>
      <c r="H229" s="443"/>
    </row>
    <row r="230">
      <c r="A230" s="350"/>
      <c r="B230" s="350"/>
      <c r="H230" s="443"/>
    </row>
    <row r="231">
      <c r="A231" s="350"/>
      <c r="B231" s="350"/>
      <c r="H231" s="443"/>
    </row>
    <row r="232">
      <c r="A232" s="350"/>
      <c r="B232" s="350"/>
      <c r="H232" s="443"/>
    </row>
    <row r="233">
      <c r="A233" s="350"/>
      <c r="B233" s="350"/>
      <c r="H233" s="443"/>
    </row>
    <row r="234">
      <c r="A234" s="350"/>
      <c r="B234" s="350"/>
      <c r="H234" s="443"/>
    </row>
    <row r="235">
      <c r="A235" s="350"/>
      <c r="B235" s="350"/>
      <c r="H235" s="443"/>
    </row>
    <row r="236">
      <c r="A236" s="350"/>
      <c r="B236" s="350"/>
      <c r="H236" s="443"/>
    </row>
    <row r="237">
      <c r="A237" s="350"/>
      <c r="B237" s="350"/>
      <c r="H237" s="443"/>
    </row>
    <row r="238">
      <c r="A238" s="350"/>
      <c r="B238" s="350"/>
      <c r="H238" s="443"/>
    </row>
    <row r="239">
      <c r="A239" s="350"/>
      <c r="B239" s="350"/>
      <c r="H239" s="443"/>
    </row>
    <row r="240">
      <c r="A240" s="350"/>
      <c r="B240" s="350"/>
      <c r="H240" s="443"/>
    </row>
    <row r="241">
      <c r="A241" s="350"/>
      <c r="B241" s="350"/>
      <c r="H241" s="443"/>
    </row>
    <row r="242">
      <c r="A242" s="350"/>
      <c r="B242" s="350"/>
      <c r="H242" s="443"/>
    </row>
    <row r="243">
      <c r="A243" s="350"/>
      <c r="B243" s="350"/>
      <c r="H243" s="443"/>
    </row>
    <row r="244">
      <c r="A244" s="350"/>
      <c r="B244" s="350"/>
      <c r="H244" s="443"/>
    </row>
    <row r="245">
      <c r="A245" s="350"/>
      <c r="B245" s="350"/>
      <c r="H245" s="443"/>
    </row>
    <row r="246">
      <c r="A246" s="350"/>
      <c r="B246" s="350"/>
      <c r="H246" s="443"/>
    </row>
    <row r="247">
      <c r="A247" s="350"/>
      <c r="B247" s="350"/>
      <c r="H247" s="443"/>
    </row>
    <row r="248">
      <c r="A248" s="350"/>
      <c r="B248" s="350"/>
      <c r="H248" s="443"/>
    </row>
    <row r="249">
      <c r="A249" s="350"/>
      <c r="B249" s="350"/>
      <c r="H249" s="443"/>
    </row>
    <row r="250">
      <c r="A250" s="350"/>
      <c r="B250" s="350"/>
      <c r="H250" s="443"/>
    </row>
    <row r="251">
      <c r="A251" s="350"/>
      <c r="B251" s="350"/>
      <c r="H251" s="443"/>
    </row>
    <row r="252">
      <c r="A252" s="350"/>
      <c r="B252" s="350"/>
      <c r="H252" s="443"/>
    </row>
    <row r="253">
      <c r="A253" s="350"/>
      <c r="B253" s="350"/>
      <c r="H253" s="443"/>
    </row>
    <row r="254">
      <c r="A254" s="350"/>
      <c r="B254" s="350"/>
      <c r="H254" s="443"/>
    </row>
    <row r="255">
      <c r="A255" s="350"/>
      <c r="B255" s="350"/>
      <c r="H255" s="443"/>
    </row>
    <row r="256">
      <c r="A256" s="350"/>
      <c r="B256" s="350"/>
      <c r="H256" s="443"/>
    </row>
    <row r="257">
      <c r="A257" s="350"/>
      <c r="B257" s="350"/>
      <c r="H257" s="443"/>
    </row>
    <row r="258">
      <c r="A258" s="350"/>
      <c r="B258" s="350"/>
      <c r="H258" s="443"/>
    </row>
    <row r="259">
      <c r="A259" s="350"/>
      <c r="B259" s="350"/>
      <c r="H259" s="443"/>
    </row>
    <row r="260">
      <c r="A260" s="350"/>
      <c r="B260" s="350"/>
      <c r="H260" s="443"/>
    </row>
    <row r="261">
      <c r="A261" s="350"/>
      <c r="B261" s="350"/>
      <c r="H261" s="443"/>
    </row>
    <row r="262">
      <c r="A262" s="350"/>
      <c r="B262" s="350"/>
      <c r="H262" s="443"/>
    </row>
    <row r="263">
      <c r="A263" s="350"/>
      <c r="B263" s="350"/>
      <c r="H263" s="443"/>
    </row>
    <row r="264">
      <c r="A264" s="350"/>
      <c r="B264" s="350"/>
      <c r="H264" s="443"/>
    </row>
    <row r="265">
      <c r="A265" s="350"/>
      <c r="B265" s="350"/>
      <c r="H265" s="443"/>
    </row>
    <row r="266">
      <c r="A266" s="350"/>
      <c r="B266" s="350"/>
      <c r="H266" s="443"/>
    </row>
    <row r="267">
      <c r="A267" s="350"/>
      <c r="B267" s="350"/>
      <c r="H267" s="443"/>
    </row>
    <row r="268">
      <c r="A268" s="350"/>
      <c r="B268" s="350"/>
      <c r="H268" s="443"/>
    </row>
    <row r="269">
      <c r="A269" s="350"/>
      <c r="B269" s="350"/>
      <c r="H269" s="443"/>
    </row>
    <row r="270">
      <c r="A270" s="350"/>
      <c r="B270" s="350"/>
      <c r="H270" s="443"/>
    </row>
    <row r="271">
      <c r="A271" s="350"/>
      <c r="B271" s="350"/>
      <c r="H271" s="443"/>
    </row>
    <row r="272">
      <c r="A272" s="350"/>
      <c r="B272" s="350"/>
      <c r="H272" s="443"/>
    </row>
    <row r="273">
      <c r="A273" s="350"/>
      <c r="B273" s="350"/>
      <c r="H273" s="443"/>
    </row>
    <row r="274">
      <c r="A274" s="350"/>
      <c r="B274" s="350"/>
      <c r="H274" s="443"/>
    </row>
    <row r="275">
      <c r="A275" s="350"/>
      <c r="B275" s="350"/>
      <c r="H275" s="443"/>
    </row>
    <row r="276">
      <c r="A276" s="350"/>
      <c r="B276" s="350"/>
      <c r="H276" s="443"/>
    </row>
    <row r="277">
      <c r="A277" s="350"/>
      <c r="B277" s="350"/>
      <c r="H277" s="443"/>
    </row>
    <row r="278">
      <c r="A278" s="350"/>
      <c r="B278" s="350"/>
      <c r="H278" s="443"/>
    </row>
    <row r="279">
      <c r="A279" s="350"/>
      <c r="B279" s="350"/>
      <c r="H279" s="443"/>
    </row>
    <row r="280">
      <c r="A280" s="350"/>
      <c r="B280" s="350"/>
      <c r="H280" s="443"/>
    </row>
    <row r="281">
      <c r="A281" s="350"/>
      <c r="B281" s="350"/>
      <c r="H281" s="443"/>
    </row>
    <row r="282">
      <c r="A282" s="350"/>
      <c r="B282" s="350"/>
      <c r="H282" s="443"/>
    </row>
    <row r="283">
      <c r="A283" s="350"/>
      <c r="B283" s="350"/>
      <c r="H283" s="443"/>
    </row>
    <row r="284">
      <c r="A284" s="350"/>
      <c r="B284" s="350"/>
      <c r="H284" s="443"/>
    </row>
    <row r="285">
      <c r="A285" s="350"/>
      <c r="B285" s="350"/>
      <c r="H285" s="443"/>
    </row>
    <row r="286">
      <c r="A286" s="350"/>
      <c r="B286" s="350"/>
      <c r="H286" s="443"/>
    </row>
    <row r="287">
      <c r="A287" s="350"/>
      <c r="B287" s="350"/>
      <c r="H287" s="443"/>
    </row>
    <row r="288">
      <c r="A288" s="350"/>
      <c r="B288" s="350"/>
      <c r="H288" s="443"/>
    </row>
    <row r="289">
      <c r="A289" s="350"/>
      <c r="B289" s="350"/>
      <c r="H289" s="443"/>
    </row>
    <row r="290">
      <c r="A290" s="350"/>
      <c r="B290" s="350"/>
      <c r="H290" s="443"/>
    </row>
    <row r="291">
      <c r="A291" s="350"/>
      <c r="B291" s="350"/>
      <c r="H291" s="443"/>
    </row>
    <row r="292">
      <c r="A292" s="350"/>
      <c r="B292" s="350"/>
      <c r="H292" s="443"/>
    </row>
    <row r="293">
      <c r="A293" s="350"/>
      <c r="B293" s="350"/>
      <c r="H293" s="443"/>
    </row>
    <row r="294">
      <c r="A294" s="350"/>
      <c r="B294" s="350"/>
      <c r="H294" s="443"/>
    </row>
    <row r="295">
      <c r="A295" s="350"/>
      <c r="B295" s="350"/>
      <c r="H295" s="443"/>
    </row>
    <row r="296">
      <c r="A296" s="350"/>
      <c r="B296" s="350"/>
      <c r="H296" s="443"/>
    </row>
    <row r="297">
      <c r="A297" s="350"/>
      <c r="B297" s="350"/>
      <c r="H297" s="443"/>
    </row>
    <row r="298">
      <c r="A298" s="350"/>
      <c r="B298" s="350"/>
      <c r="H298" s="443"/>
    </row>
    <row r="299">
      <c r="A299" s="350"/>
      <c r="B299" s="350"/>
      <c r="H299" s="443"/>
    </row>
    <row r="300">
      <c r="A300" s="350"/>
      <c r="B300" s="350"/>
      <c r="H300" s="443"/>
    </row>
    <row r="301">
      <c r="A301" s="350"/>
      <c r="B301" s="350"/>
      <c r="H301" s="443"/>
    </row>
    <row r="302">
      <c r="A302" s="350"/>
      <c r="B302" s="350"/>
      <c r="H302" s="443"/>
    </row>
    <row r="303">
      <c r="A303" s="350"/>
      <c r="B303" s="350"/>
      <c r="H303" s="443"/>
    </row>
    <row r="304">
      <c r="A304" s="350"/>
      <c r="B304" s="350"/>
      <c r="H304" s="443"/>
    </row>
    <row r="305">
      <c r="A305" s="350"/>
      <c r="B305" s="350"/>
      <c r="H305" s="443"/>
    </row>
    <row r="306">
      <c r="A306" s="350"/>
      <c r="B306" s="350"/>
      <c r="H306" s="443"/>
    </row>
    <row r="307">
      <c r="A307" s="350"/>
      <c r="B307" s="350"/>
      <c r="H307" s="443"/>
    </row>
    <row r="308">
      <c r="A308" s="350"/>
      <c r="B308" s="350"/>
      <c r="H308" s="443"/>
    </row>
    <row r="309">
      <c r="A309" s="350"/>
      <c r="B309" s="350"/>
      <c r="H309" s="443"/>
    </row>
    <row r="310">
      <c r="A310" s="350"/>
      <c r="B310" s="350"/>
      <c r="H310" s="443"/>
    </row>
    <row r="311">
      <c r="A311" s="350"/>
      <c r="B311" s="350"/>
      <c r="H311" s="443"/>
    </row>
    <row r="312">
      <c r="A312" s="350"/>
      <c r="B312" s="350"/>
      <c r="H312" s="443"/>
    </row>
    <row r="313">
      <c r="A313" s="350"/>
      <c r="B313" s="350"/>
      <c r="H313" s="443"/>
    </row>
    <row r="314">
      <c r="A314" s="350"/>
      <c r="B314" s="350"/>
      <c r="H314" s="443"/>
    </row>
    <row r="315">
      <c r="A315" s="350"/>
      <c r="B315" s="350"/>
      <c r="H315" s="443"/>
    </row>
    <row r="316">
      <c r="A316" s="350"/>
      <c r="B316" s="350"/>
      <c r="H316" s="443"/>
    </row>
    <row r="317">
      <c r="A317" s="350"/>
      <c r="B317" s="350"/>
      <c r="H317" s="443"/>
    </row>
    <row r="318">
      <c r="A318" s="350"/>
      <c r="B318" s="350"/>
      <c r="H318" s="443"/>
    </row>
    <row r="319">
      <c r="A319" s="350"/>
      <c r="B319" s="350"/>
      <c r="H319" s="443"/>
    </row>
    <row r="320">
      <c r="A320" s="350"/>
      <c r="B320" s="350"/>
      <c r="H320" s="443"/>
    </row>
    <row r="321">
      <c r="A321" s="350"/>
      <c r="B321" s="350"/>
      <c r="H321" s="443"/>
    </row>
    <row r="322">
      <c r="A322" s="350"/>
      <c r="B322" s="350"/>
      <c r="H322" s="443"/>
    </row>
    <row r="323">
      <c r="A323" s="350"/>
      <c r="B323" s="350"/>
      <c r="H323" s="443"/>
    </row>
    <row r="324">
      <c r="A324" s="350"/>
      <c r="B324" s="350"/>
      <c r="H324" s="443"/>
    </row>
    <row r="325">
      <c r="A325" s="350"/>
      <c r="B325" s="350"/>
      <c r="H325" s="443"/>
    </row>
    <row r="326">
      <c r="A326" s="350"/>
      <c r="B326" s="350"/>
      <c r="H326" s="443"/>
    </row>
    <row r="327">
      <c r="A327" s="350"/>
      <c r="B327" s="350"/>
      <c r="H327" s="443"/>
    </row>
    <row r="328">
      <c r="A328" s="350"/>
      <c r="B328" s="350"/>
      <c r="H328" s="443"/>
    </row>
    <row r="329">
      <c r="A329" s="350"/>
      <c r="B329" s="350"/>
      <c r="H329" s="443"/>
    </row>
    <row r="330">
      <c r="A330" s="350"/>
      <c r="B330" s="350"/>
      <c r="H330" s="443"/>
    </row>
    <row r="331">
      <c r="A331" s="350"/>
      <c r="B331" s="350"/>
      <c r="H331" s="443"/>
    </row>
    <row r="332">
      <c r="A332" s="350"/>
      <c r="B332" s="350"/>
      <c r="H332" s="443"/>
    </row>
    <row r="333">
      <c r="A333" s="350"/>
      <c r="B333" s="350"/>
      <c r="H333" s="443"/>
    </row>
    <row r="334">
      <c r="A334" s="350"/>
      <c r="B334" s="350"/>
      <c r="H334" s="443"/>
    </row>
    <row r="335">
      <c r="A335" s="350"/>
      <c r="B335" s="350"/>
      <c r="H335" s="443"/>
    </row>
    <row r="336">
      <c r="A336" s="350"/>
      <c r="B336" s="350"/>
      <c r="H336" s="443"/>
    </row>
    <row r="337">
      <c r="A337" s="350"/>
      <c r="B337" s="350"/>
      <c r="H337" s="443"/>
    </row>
    <row r="338">
      <c r="A338" s="350"/>
      <c r="B338" s="350"/>
      <c r="H338" s="443"/>
    </row>
    <row r="339">
      <c r="A339" s="350"/>
      <c r="B339" s="350"/>
      <c r="H339" s="443"/>
    </row>
    <row r="340">
      <c r="A340" s="350"/>
      <c r="B340" s="350"/>
      <c r="H340" s="443"/>
    </row>
    <row r="341">
      <c r="A341" s="350"/>
      <c r="B341" s="350"/>
      <c r="H341" s="443"/>
    </row>
    <row r="342">
      <c r="A342" s="350"/>
      <c r="B342" s="350"/>
      <c r="H342" s="443"/>
    </row>
    <row r="343">
      <c r="A343" s="350"/>
      <c r="B343" s="350"/>
      <c r="H343" s="443"/>
    </row>
    <row r="344">
      <c r="A344" s="350"/>
      <c r="B344" s="350"/>
      <c r="H344" s="443"/>
    </row>
    <row r="345">
      <c r="A345" s="350"/>
      <c r="B345" s="350"/>
      <c r="H345" s="443"/>
    </row>
    <row r="346">
      <c r="A346" s="350"/>
      <c r="B346" s="350"/>
      <c r="H346" s="443"/>
    </row>
    <row r="347">
      <c r="A347" s="350"/>
      <c r="B347" s="350"/>
      <c r="H347" s="443"/>
    </row>
    <row r="348">
      <c r="A348" s="350"/>
      <c r="B348" s="350"/>
      <c r="H348" s="443"/>
    </row>
    <row r="349">
      <c r="A349" s="350"/>
      <c r="B349" s="350"/>
      <c r="H349" s="443"/>
    </row>
    <row r="350">
      <c r="A350" s="350"/>
      <c r="B350" s="350"/>
      <c r="H350" s="443"/>
    </row>
    <row r="351">
      <c r="A351" s="350"/>
      <c r="B351" s="350"/>
      <c r="H351" s="443"/>
    </row>
    <row r="352">
      <c r="A352" s="350"/>
      <c r="B352" s="350"/>
      <c r="H352" s="443"/>
    </row>
    <row r="353">
      <c r="A353" s="350"/>
      <c r="B353" s="350"/>
      <c r="H353" s="443"/>
    </row>
    <row r="354">
      <c r="A354" s="350"/>
      <c r="B354" s="350"/>
      <c r="H354" s="443"/>
    </row>
    <row r="355">
      <c r="A355" s="350"/>
      <c r="B355" s="350"/>
      <c r="H355" s="443"/>
    </row>
    <row r="356">
      <c r="A356" s="350"/>
      <c r="B356" s="350"/>
      <c r="H356" s="443"/>
    </row>
    <row r="357">
      <c r="A357" s="350"/>
      <c r="B357" s="350"/>
      <c r="H357" s="443"/>
    </row>
    <row r="358">
      <c r="A358" s="350"/>
      <c r="B358" s="350"/>
      <c r="H358" s="443"/>
    </row>
    <row r="359">
      <c r="A359" s="350"/>
      <c r="B359" s="350"/>
      <c r="H359" s="443"/>
    </row>
    <row r="360">
      <c r="A360" s="350"/>
      <c r="B360" s="350"/>
      <c r="H360" s="443"/>
    </row>
    <row r="361">
      <c r="A361" s="350"/>
      <c r="B361" s="350"/>
      <c r="H361" s="443"/>
    </row>
    <row r="362">
      <c r="A362" s="350"/>
      <c r="B362" s="350"/>
      <c r="H362" s="443"/>
    </row>
    <row r="363">
      <c r="A363" s="350"/>
      <c r="B363" s="350"/>
      <c r="H363" s="443"/>
    </row>
    <row r="364">
      <c r="A364" s="350"/>
      <c r="B364" s="350"/>
      <c r="H364" s="443"/>
    </row>
    <row r="365">
      <c r="A365" s="350"/>
      <c r="B365" s="350"/>
      <c r="H365" s="443"/>
    </row>
    <row r="366">
      <c r="A366" s="350"/>
      <c r="B366" s="350"/>
      <c r="H366" s="443"/>
    </row>
    <row r="367">
      <c r="A367" s="350"/>
      <c r="B367" s="350"/>
      <c r="H367" s="443"/>
    </row>
    <row r="368">
      <c r="A368" s="350"/>
      <c r="B368" s="350"/>
      <c r="H368" s="443"/>
    </row>
    <row r="369">
      <c r="A369" s="350"/>
      <c r="B369" s="350"/>
      <c r="H369" s="443"/>
    </row>
    <row r="370">
      <c r="A370" s="350"/>
      <c r="B370" s="350"/>
      <c r="H370" s="443"/>
    </row>
    <row r="371">
      <c r="A371" s="350"/>
      <c r="B371" s="350"/>
      <c r="H371" s="443"/>
    </row>
    <row r="372">
      <c r="A372" s="350"/>
      <c r="B372" s="350"/>
      <c r="H372" s="443"/>
    </row>
    <row r="373">
      <c r="A373" s="350"/>
      <c r="B373" s="350"/>
      <c r="H373" s="443"/>
    </row>
    <row r="374">
      <c r="A374" s="350"/>
      <c r="B374" s="350"/>
      <c r="H374" s="443"/>
    </row>
    <row r="375">
      <c r="A375" s="350"/>
      <c r="B375" s="350"/>
      <c r="H375" s="443"/>
    </row>
    <row r="376">
      <c r="A376" s="350"/>
      <c r="B376" s="350"/>
      <c r="H376" s="443"/>
    </row>
    <row r="377">
      <c r="A377" s="350"/>
      <c r="B377" s="350"/>
      <c r="H377" s="443"/>
    </row>
    <row r="378">
      <c r="A378" s="350"/>
      <c r="B378" s="350"/>
      <c r="H378" s="443"/>
    </row>
    <row r="379">
      <c r="A379" s="350"/>
      <c r="B379" s="350"/>
      <c r="H379" s="443"/>
    </row>
    <row r="380">
      <c r="A380" s="350"/>
      <c r="B380" s="350"/>
      <c r="H380" s="443"/>
    </row>
    <row r="381">
      <c r="A381" s="350"/>
      <c r="B381" s="350"/>
      <c r="H381" s="443"/>
    </row>
    <row r="382">
      <c r="A382" s="350"/>
      <c r="B382" s="350"/>
      <c r="H382" s="443"/>
    </row>
    <row r="383">
      <c r="A383" s="350"/>
      <c r="B383" s="350"/>
      <c r="H383" s="443"/>
    </row>
    <row r="384">
      <c r="A384" s="350"/>
      <c r="B384" s="350"/>
      <c r="H384" s="443"/>
    </row>
    <row r="385">
      <c r="A385" s="350"/>
      <c r="B385" s="350"/>
      <c r="H385" s="443"/>
    </row>
    <row r="386">
      <c r="A386" s="350"/>
      <c r="B386" s="350"/>
      <c r="H386" s="443"/>
    </row>
    <row r="387">
      <c r="A387" s="350"/>
      <c r="B387" s="350"/>
      <c r="H387" s="443"/>
    </row>
    <row r="388">
      <c r="A388" s="350"/>
      <c r="B388" s="350"/>
      <c r="H388" s="443"/>
    </row>
    <row r="389">
      <c r="A389" s="350"/>
      <c r="B389" s="350"/>
      <c r="H389" s="443"/>
    </row>
    <row r="390">
      <c r="A390" s="350"/>
      <c r="B390" s="350"/>
      <c r="H390" s="443"/>
    </row>
    <row r="391">
      <c r="A391" s="350"/>
      <c r="B391" s="350"/>
      <c r="H391" s="443"/>
    </row>
    <row r="392">
      <c r="A392" s="350"/>
      <c r="B392" s="350"/>
      <c r="H392" s="443"/>
    </row>
    <row r="393">
      <c r="A393" s="350"/>
      <c r="B393" s="350"/>
      <c r="H393" s="443"/>
    </row>
    <row r="394">
      <c r="A394" s="350"/>
      <c r="B394" s="350"/>
      <c r="H394" s="443"/>
    </row>
    <row r="395">
      <c r="A395" s="350"/>
      <c r="B395" s="350"/>
      <c r="H395" s="443"/>
    </row>
    <row r="396">
      <c r="A396" s="350"/>
      <c r="B396" s="350"/>
      <c r="H396" s="443"/>
    </row>
    <row r="397">
      <c r="A397" s="350"/>
      <c r="B397" s="350"/>
      <c r="H397" s="443"/>
    </row>
    <row r="398">
      <c r="A398" s="350"/>
      <c r="B398" s="350"/>
      <c r="H398" s="443"/>
    </row>
    <row r="399">
      <c r="A399" s="350"/>
      <c r="B399" s="350"/>
      <c r="H399" s="443"/>
    </row>
    <row r="400">
      <c r="A400" s="350"/>
      <c r="B400" s="350"/>
      <c r="H400" s="443"/>
    </row>
    <row r="401">
      <c r="A401" s="350"/>
      <c r="B401" s="350"/>
      <c r="H401" s="443"/>
    </row>
    <row r="402">
      <c r="A402" s="350"/>
      <c r="B402" s="350"/>
      <c r="H402" s="443"/>
    </row>
    <row r="403">
      <c r="A403" s="350"/>
      <c r="B403" s="350"/>
      <c r="H403" s="443"/>
    </row>
    <row r="404">
      <c r="A404" s="350"/>
      <c r="B404" s="350"/>
      <c r="H404" s="443"/>
    </row>
    <row r="405">
      <c r="A405" s="350"/>
      <c r="B405" s="350"/>
      <c r="H405" s="443"/>
    </row>
    <row r="406">
      <c r="A406" s="350"/>
      <c r="B406" s="350"/>
      <c r="H406" s="443"/>
    </row>
    <row r="407">
      <c r="A407" s="350"/>
      <c r="B407" s="350"/>
      <c r="H407" s="443"/>
    </row>
    <row r="408">
      <c r="A408" s="350"/>
      <c r="B408" s="350"/>
      <c r="H408" s="443"/>
    </row>
    <row r="409">
      <c r="A409" s="350"/>
      <c r="B409" s="350"/>
      <c r="H409" s="443"/>
    </row>
    <row r="410">
      <c r="A410" s="350"/>
      <c r="B410" s="350"/>
      <c r="H410" s="443"/>
    </row>
    <row r="411">
      <c r="A411" s="350"/>
      <c r="B411" s="350"/>
      <c r="H411" s="443"/>
    </row>
    <row r="412">
      <c r="A412" s="350"/>
      <c r="B412" s="350"/>
      <c r="H412" s="443"/>
    </row>
    <row r="413">
      <c r="A413" s="350"/>
      <c r="B413" s="350"/>
      <c r="H413" s="443"/>
    </row>
    <row r="414">
      <c r="A414" s="350"/>
      <c r="B414" s="350"/>
      <c r="H414" s="443"/>
    </row>
    <row r="415">
      <c r="A415" s="350"/>
      <c r="B415" s="350"/>
      <c r="H415" s="443"/>
    </row>
    <row r="416">
      <c r="A416" s="350"/>
      <c r="B416" s="350"/>
      <c r="H416" s="443"/>
    </row>
    <row r="417">
      <c r="A417" s="350"/>
      <c r="B417" s="350"/>
      <c r="H417" s="443"/>
    </row>
    <row r="418">
      <c r="A418" s="350"/>
      <c r="B418" s="350"/>
      <c r="H418" s="443"/>
    </row>
    <row r="419">
      <c r="A419" s="350"/>
      <c r="B419" s="350"/>
      <c r="H419" s="443"/>
    </row>
    <row r="420">
      <c r="A420" s="350"/>
      <c r="B420" s="350"/>
      <c r="H420" s="443"/>
    </row>
    <row r="421">
      <c r="A421" s="350"/>
      <c r="B421" s="350"/>
      <c r="H421" s="443"/>
    </row>
    <row r="422">
      <c r="A422" s="350"/>
      <c r="B422" s="350"/>
      <c r="H422" s="443"/>
    </row>
    <row r="423">
      <c r="A423" s="350"/>
      <c r="B423" s="350"/>
      <c r="H423" s="443"/>
    </row>
    <row r="424">
      <c r="A424" s="350"/>
      <c r="B424" s="350"/>
      <c r="H424" s="443"/>
    </row>
    <row r="425">
      <c r="A425" s="350"/>
      <c r="B425" s="350"/>
      <c r="H425" s="443"/>
    </row>
    <row r="426">
      <c r="A426" s="350"/>
      <c r="B426" s="350"/>
      <c r="H426" s="443"/>
    </row>
    <row r="427">
      <c r="A427" s="350"/>
      <c r="B427" s="350"/>
      <c r="H427" s="443"/>
    </row>
    <row r="428">
      <c r="A428" s="350"/>
      <c r="B428" s="350"/>
      <c r="H428" s="443"/>
    </row>
    <row r="429">
      <c r="A429" s="350"/>
      <c r="B429" s="350"/>
      <c r="H429" s="443"/>
    </row>
    <row r="430">
      <c r="A430" s="350"/>
      <c r="B430" s="350"/>
      <c r="H430" s="443"/>
    </row>
    <row r="431">
      <c r="A431" s="350"/>
      <c r="B431" s="350"/>
      <c r="H431" s="443"/>
    </row>
    <row r="432">
      <c r="A432" s="350"/>
      <c r="B432" s="350"/>
      <c r="H432" s="443"/>
    </row>
    <row r="433">
      <c r="A433" s="350"/>
      <c r="B433" s="350"/>
      <c r="H433" s="443"/>
    </row>
    <row r="434">
      <c r="A434" s="350"/>
      <c r="B434" s="350"/>
      <c r="H434" s="443"/>
    </row>
    <row r="435">
      <c r="A435" s="350"/>
      <c r="B435" s="350"/>
      <c r="H435" s="443"/>
    </row>
    <row r="436">
      <c r="A436" s="350"/>
      <c r="B436" s="350"/>
      <c r="H436" s="443"/>
    </row>
    <row r="437">
      <c r="A437" s="350"/>
      <c r="B437" s="350"/>
      <c r="H437" s="443"/>
    </row>
    <row r="438">
      <c r="A438" s="350"/>
      <c r="B438" s="350"/>
      <c r="H438" s="443"/>
    </row>
    <row r="439">
      <c r="A439" s="350"/>
      <c r="B439" s="350"/>
      <c r="H439" s="443"/>
    </row>
    <row r="440">
      <c r="A440" s="350"/>
      <c r="B440" s="350"/>
      <c r="H440" s="443"/>
    </row>
    <row r="441">
      <c r="A441" s="350"/>
      <c r="B441" s="350"/>
      <c r="H441" s="443"/>
    </row>
    <row r="442">
      <c r="A442" s="350"/>
      <c r="B442" s="350"/>
      <c r="H442" s="443"/>
    </row>
    <row r="443">
      <c r="A443" s="350"/>
      <c r="B443" s="350"/>
      <c r="H443" s="443"/>
    </row>
    <row r="444">
      <c r="A444" s="350"/>
      <c r="B444" s="350"/>
      <c r="H444" s="443"/>
    </row>
    <row r="445">
      <c r="A445" s="350"/>
      <c r="B445" s="350"/>
      <c r="H445" s="443"/>
    </row>
    <row r="446">
      <c r="A446" s="350"/>
      <c r="B446" s="350"/>
      <c r="H446" s="443"/>
    </row>
    <row r="447">
      <c r="A447" s="350"/>
      <c r="B447" s="350"/>
      <c r="H447" s="443"/>
    </row>
    <row r="448">
      <c r="A448" s="350"/>
      <c r="B448" s="350"/>
      <c r="H448" s="443"/>
    </row>
    <row r="449">
      <c r="A449" s="350"/>
      <c r="B449" s="350"/>
      <c r="H449" s="443"/>
    </row>
    <row r="450">
      <c r="A450" s="350"/>
      <c r="B450" s="350"/>
      <c r="H450" s="443"/>
    </row>
    <row r="451">
      <c r="A451" s="350"/>
      <c r="B451" s="350"/>
      <c r="H451" s="443"/>
    </row>
    <row r="452">
      <c r="A452" s="350"/>
      <c r="B452" s="350"/>
      <c r="H452" s="443"/>
    </row>
    <row r="453">
      <c r="A453" s="350"/>
      <c r="B453" s="350"/>
      <c r="H453" s="443"/>
    </row>
    <row r="454">
      <c r="A454" s="350"/>
      <c r="B454" s="350"/>
      <c r="H454" s="443"/>
    </row>
    <row r="455">
      <c r="A455" s="350"/>
      <c r="B455" s="350"/>
      <c r="H455" s="443"/>
    </row>
    <row r="456">
      <c r="A456" s="350"/>
      <c r="B456" s="350"/>
      <c r="H456" s="443"/>
    </row>
    <row r="457">
      <c r="A457" s="350"/>
      <c r="B457" s="350"/>
      <c r="H457" s="443"/>
    </row>
    <row r="458">
      <c r="A458" s="350"/>
      <c r="B458" s="350"/>
      <c r="H458" s="443"/>
    </row>
    <row r="459">
      <c r="A459" s="350"/>
      <c r="B459" s="350"/>
      <c r="H459" s="443"/>
    </row>
    <row r="460">
      <c r="A460" s="350"/>
      <c r="B460" s="350"/>
      <c r="H460" s="443"/>
    </row>
    <row r="461">
      <c r="A461" s="350"/>
      <c r="B461" s="350"/>
      <c r="H461" s="443"/>
    </row>
    <row r="462">
      <c r="A462" s="350"/>
      <c r="B462" s="350"/>
      <c r="H462" s="443"/>
    </row>
    <row r="463">
      <c r="A463" s="350"/>
      <c r="B463" s="350"/>
      <c r="H463" s="443"/>
    </row>
    <row r="464">
      <c r="A464" s="350"/>
      <c r="B464" s="350"/>
      <c r="H464" s="443"/>
    </row>
    <row r="465">
      <c r="A465" s="350"/>
      <c r="B465" s="350"/>
      <c r="H465" s="443"/>
    </row>
    <row r="466">
      <c r="A466" s="350"/>
      <c r="B466" s="350"/>
      <c r="H466" s="443"/>
    </row>
    <row r="467">
      <c r="A467" s="350"/>
      <c r="B467" s="350"/>
      <c r="H467" s="443"/>
    </row>
    <row r="468">
      <c r="A468" s="350"/>
      <c r="B468" s="350"/>
      <c r="H468" s="443"/>
    </row>
    <row r="469">
      <c r="A469" s="350"/>
      <c r="B469" s="350"/>
      <c r="H469" s="443"/>
    </row>
    <row r="470">
      <c r="A470" s="350"/>
      <c r="B470" s="350"/>
      <c r="H470" s="443"/>
    </row>
    <row r="471">
      <c r="A471" s="350"/>
      <c r="B471" s="350"/>
      <c r="H471" s="443"/>
    </row>
    <row r="472">
      <c r="A472" s="350"/>
      <c r="B472" s="350"/>
      <c r="H472" s="443"/>
    </row>
    <row r="473">
      <c r="A473" s="350"/>
      <c r="B473" s="350"/>
      <c r="H473" s="443"/>
    </row>
    <row r="474">
      <c r="A474" s="350"/>
      <c r="B474" s="350"/>
      <c r="H474" s="443"/>
    </row>
    <row r="475">
      <c r="A475" s="350"/>
      <c r="B475" s="350"/>
      <c r="H475" s="443"/>
    </row>
    <row r="476">
      <c r="A476" s="350"/>
      <c r="B476" s="350"/>
      <c r="H476" s="443"/>
    </row>
    <row r="477">
      <c r="A477" s="350"/>
      <c r="B477" s="350"/>
      <c r="H477" s="443"/>
    </row>
    <row r="478">
      <c r="A478" s="350"/>
      <c r="B478" s="350"/>
      <c r="H478" s="443"/>
    </row>
    <row r="479">
      <c r="A479" s="350"/>
      <c r="B479" s="350"/>
      <c r="H479" s="443"/>
    </row>
    <row r="480">
      <c r="A480" s="350"/>
      <c r="B480" s="350"/>
      <c r="H480" s="443"/>
    </row>
    <row r="481">
      <c r="A481" s="350"/>
      <c r="B481" s="350"/>
      <c r="H481" s="443"/>
    </row>
    <row r="482">
      <c r="A482" s="350"/>
      <c r="B482" s="350"/>
      <c r="H482" s="443"/>
    </row>
    <row r="483">
      <c r="A483" s="350"/>
      <c r="B483" s="350"/>
      <c r="H483" s="443"/>
    </row>
    <row r="484">
      <c r="A484" s="350"/>
      <c r="B484" s="350"/>
      <c r="H484" s="443"/>
    </row>
    <row r="485">
      <c r="A485" s="350"/>
      <c r="B485" s="350"/>
      <c r="H485" s="443"/>
    </row>
    <row r="486">
      <c r="A486" s="350"/>
      <c r="B486" s="350"/>
      <c r="H486" s="443"/>
    </row>
    <row r="487">
      <c r="A487" s="350"/>
      <c r="B487" s="350"/>
      <c r="H487" s="443"/>
    </row>
    <row r="488">
      <c r="A488" s="350"/>
      <c r="B488" s="350"/>
      <c r="H488" s="443"/>
    </row>
    <row r="489">
      <c r="A489" s="350"/>
      <c r="B489" s="350"/>
      <c r="H489" s="443"/>
    </row>
    <row r="490">
      <c r="A490" s="350"/>
      <c r="B490" s="350"/>
      <c r="H490" s="443"/>
    </row>
    <row r="491">
      <c r="A491" s="350"/>
      <c r="B491" s="350"/>
      <c r="H491" s="443"/>
    </row>
    <row r="492">
      <c r="A492" s="350"/>
      <c r="B492" s="350"/>
      <c r="H492" s="443"/>
    </row>
    <row r="493">
      <c r="A493" s="350"/>
      <c r="B493" s="350"/>
      <c r="H493" s="443"/>
    </row>
    <row r="494">
      <c r="A494" s="350"/>
      <c r="B494" s="350"/>
      <c r="H494" s="443"/>
    </row>
    <row r="495">
      <c r="A495" s="350"/>
      <c r="B495" s="350"/>
      <c r="H495" s="443"/>
    </row>
    <row r="496">
      <c r="A496" s="350"/>
      <c r="B496" s="350"/>
      <c r="H496" s="443"/>
    </row>
    <row r="497">
      <c r="A497" s="350"/>
      <c r="B497" s="350"/>
      <c r="H497" s="443"/>
    </row>
    <row r="498">
      <c r="A498" s="350"/>
      <c r="B498" s="350"/>
      <c r="H498" s="443"/>
    </row>
    <row r="499">
      <c r="A499" s="350"/>
      <c r="B499" s="350"/>
      <c r="H499" s="443"/>
    </row>
    <row r="500">
      <c r="A500" s="350"/>
      <c r="B500" s="350"/>
      <c r="H500" s="443"/>
    </row>
    <row r="501">
      <c r="A501" s="350"/>
      <c r="B501" s="350"/>
      <c r="H501" s="443"/>
    </row>
    <row r="502">
      <c r="A502" s="350"/>
      <c r="B502" s="350"/>
      <c r="H502" s="443"/>
    </row>
    <row r="503">
      <c r="A503" s="350"/>
      <c r="B503" s="350"/>
      <c r="H503" s="443"/>
    </row>
    <row r="504">
      <c r="A504" s="350"/>
      <c r="B504" s="350"/>
      <c r="H504" s="443"/>
    </row>
    <row r="505">
      <c r="A505" s="350"/>
      <c r="B505" s="350"/>
      <c r="H505" s="443"/>
    </row>
    <row r="506">
      <c r="A506" s="350"/>
      <c r="B506" s="350"/>
      <c r="H506" s="443"/>
    </row>
    <row r="507">
      <c r="A507" s="350"/>
      <c r="B507" s="350"/>
      <c r="H507" s="443"/>
    </row>
    <row r="508">
      <c r="A508" s="350"/>
      <c r="B508" s="350"/>
      <c r="H508" s="443"/>
    </row>
    <row r="509">
      <c r="A509" s="350"/>
      <c r="B509" s="350"/>
      <c r="H509" s="443"/>
    </row>
    <row r="510">
      <c r="A510" s="350"/>
      <c r="B510" s="350"/>
      <c r="H510" s="443"/>
    </row>
    <row r="511">
      <c r="A511" s="350"/>
      <c r="B511" s="350"/>
      <c r="H511" s="443"/>
    </row>
    <row r="512">
      <c r="A512" s="350"/>
      <c r="B512" s="350"/>
      <c r="H512" s="443"/>
    </row>
    <row r="513">
      <c r="A513" s="350"/>
      <c r="B513" s="350"/>
      <c r="H513" s="443"/>
    </row>
    <row r="514">
      <c r="A514" s="350"/>
      <c r="B514" s="350"/>
      <c r="H514" s="443"/>
    </row>
    <row r="515">
      <c r="A515" s="350"/>
      <c r="B515" s="350"/>
      <c r="H515" s="443"/>
    </row>
    <row r="516">
      <c r="A516" s="350"/>
      <c r="B516" s="350"/>
      <c r="H516" s="443"/>
    </row>
    <row r="517">
      <c r="A517" s="350"/>
      <c r="B517" s="350"/>
      <c r="H517" s="443"/>
    </row>
    <row r="518">
      <c r="A518" s="350"/>
      <c r="B518" s="350"/>
      <c r="H518" s="443"/>
    </row>
    <row r="519">
      <c r="A519" s="350"/>
      <c r="B519" s="350"/>
      <c r="H519" s="443"/>
    </row>
    <row r="520">
      <c r="A520" s="350"/>
      <c r="B520" s="350"/>
      <c r="H520" s="443"/>
    </row>
    <row r="521">
      <c r="A521" s="350"/>
      <c r="B521" s="350"/>
      <c r="H521" s="443"/>
    </row>
    <row r="522">
      <c r="A522" s="350"/>
      <c r="B522" s="350"/>
      <c r="H522" s="443"/>
    </row>
    <row r="523">
      <c r="A523" s="350"/>
      <c r="B523" s="350"/>
      <c r="H523" s="443"/>
    </row>
    <row r="524">
      <c r="A524" s="350"/>
      <c r="B524" s="350"/>
      <c r="H524" s="443"/>
    </row>
    <row r="525">
      <c r="A525" s="350"/>
      <c r="B525" s="350"/>
      <c r="H525" s="443"/>
    </row>
    <row r="526">
      <c r="A526" s="350"/>
      <c r="B526" s="350"/>
      <c r="H526" s="443"/>
    </row>
    <row r="527">
      <c r="A527" s="350"/>
      <c r="B527" s="350"/>
      <c r="H527" s="443"/>
    </row>
    <row r="528">
      <c r="A528" s="350"/>
      <c r="B528" s="350"/>
      <c r="H528" s="443"/>
    </row>
    <row r="529">
      <c r="A529" s="350"/>
      <c r="B529" s="350"/>
      <c r="H529" s="443"/>
    </row>
    <row r="530">
      <c r="A530" s="350"/>
      <c r="B530" s="350"/>
      <c r="H530" s="443"/>
    </row>
    <row r="531">
      <c r="A531" s="350"/>
      <c r="B531" s="350"/>
      <c r="H531" s="443"/>
    </row>
    <row r="532">
      <c r="A532" s="350"/>
      <c r="B532" s="350"/>
      <c r="H532" s="443"/>
    </row>
    <row r="533">
      <c r="A533" s="350"/>
      <c r="B533" s="350"/>
      <c r="H533" s="443"/>
    </row>
    <row r="534">
      <c r="A534" s="350"/>
      <c r="B534" s="350"/>
      <c r="H534" s="443"/>
    </row>
    <row r="535">
      <c r="A535" s="350"/>
      <c r="B535" s="350"/>
      <c r="H535" s="443"/>
    </row>
    <row r="536">
      <c r="A536" s="350"/>
      <c r="B536" s="350"/>
      <c r="H536" s="443"/>
    </row>
    <row r="537">
      <c r="A537" s="350"/>
      <c r="B537" s="350"/>
      <c r="H537" s="443"/>
    </row>
    <row r="538">
      <c r="A538" s="350"/>
      <c r="B538" s="350"/>
      <c r="H538" s="443"/>
    </row>
    <row r="539">
      <c r="A539" s="350"/>
      <c r="B539" s="350"/>
      <c r="H539" s="443"/>
    </row>
    <row r="540">
      <c r="A540" s="350"/>
      <c r="B540" s="350"/>
      <c r="H540" s="443"/>
    </row>
    <row r="541">
      <c r="A541" s="350"/>
      <c r="B541" s="350"/>
      <c r="H541" s="443"/>
    </row>
    <row r="542">
      <c r="A542" s="350"/>
      <c r="B542" s="350"/>
      <c r="H542" s="443"/>
    </row>
    <row r="543">
      <c r="A543" s="350"/>
      <c r="B543" s="350"/>
      <c r="H543" s="443"/>
    </row>
    <row r="544">
      <c r="A544" s="350"/>
      <c r="B544" s="350"/>
      <c r="H544" s="443"/>
    </row>
    <row r="545">
      <c r="A545" s="350"/>
      <c r="B545" s="350"/>
      <c r="H545" s="443"/>
    </row>
    <row r="546">
      <c r="A546" s="350"/>
      <c r="B546" s="350"/>
      <c r="H546" s="443"/>
    </row>
    <row r="547">
      <c r="A547" s="350"/>
      <c r="B547" s="350"/>
      <c r="H547" s="443"/>
    </row>
    <row r="548">
      <c r="A548" s="350"/>
      <c r="B548" s="350"/>
      <c r="H548" s="443"/>
    </row>
    <row r="549">
      <c r="A549" s="350"/>
      <c r="B549" s="350"/>
      <c r="H549" s="443"/>
    </row>
    <row r="550">
      <c r="A550" s="350"/>
      <c r="B550" s="350"/>
      <c r="H550" s="443"/>
    </row>
    <row r="551">
      <c r="A551" s="350"/>
      <c r="B551" s="350"/>
      <c r="H551" s="443"/>
    </row>
    <row r="552">
      <c r="A552" s="350"/>
      <c r="B552" s="350"/>
      <c r="H552" s="443"/>
    </row>
    <row r="553">
      <c r="A553" s="350"/>
      <c r="B553" s="350"/>
      <c r="H553" s="443"/>
    </row>
    <row r="554">
      <c r="A554" s="350"/>
      <c r="B554" s="350"/>
      <c r="H554" s="443"/>
    </row>
    <row r="555">
      <c r="A555" s="350"/>
      <c r="B555" s="350"/>
      <c r="H555" s="443"/>
    </row>
    <row r="556">
      <c r="A556" s="350"/>
      <c r="B556" s="350"/>
      <c r="H556" s="443"/>
    </row>
    <row r="557">
      <c r="A557" s="350"/>
      <c r="B557" s="350"/>
      <c r="H557" s="443"/>
    </row>
    <row r="558">
      <c r="A558" s="350"/>
      <c r="B558" s="350"/>
      <c r="H558" s="443"/>
    </row>
    <row r="559">
      <c r="A559" s="350"/>
      <c r="B559" s="350"/>
      <c r="H559" s="443"/>
    </row>
    <row r="560">
      <c r="A560" s="350"/>
      <c r="B560" s="350"/>
      <c r="H560" s="443"/>
    </row>
    <row r="561">
      <c r="A561" s="350"/>
      <c r="B561" s="350"/>
      <c r="H561" s="443"/>
    </row>
    <row r="562">
      <c r="A562" s="350"/>
      <c r="B562" s="350"/>
      <c r="H562" s="443"/>
    </row>
    <row r="563">
      <c r="A563" s="350"/>
      <c r="B563" s="350"/>
      <c r="H563" s="443"/>
    </row>
    <row r="564">
      <c r="A564" s="350"/>
      <c r="B564" s="350"/>
      <c r="H564" s="443"/>
    </row>
    <row r="565">
      <c r="A565" s="350"/>
      <c r="B565" s="350"/>
      <c r="H565" s="443"/>
    </row>
    <row r="566">
      <c r="A566" s="350"/>
      <c r="B566" s="350"/>
      <c r="H566" s="443"/>
    </row>
    <row r="567">
      <c r="A567" s="350"/>
      <c r="B567" s="350"/>
      <c r="H567" s="443"/>
    </row>
    <row r="568">
      <c r="A568" s="350"/>
      <c r="B568" s="350"/>
      <c r="H568" s="443"/>
    </row>
    <row r="569">
      <c r="A569" s="350"/>
      <c r="B569" s="350"/>
      <c r="H569" s="443"/>
    </row>
    <row r="570">
      <c r="A570" s="350"/>
      <c r="B570" s="350"/>
      <c r="H570" s="443"/>
    </row>
    <row r="571">
      <c r="A571" s="350"/>
      <c r="B571" s="350"/>
      <c r="H571" s="443"/>
    </row>
    <row r="572">
      <c r="A572" s="350"/>
      <c r="B572" s="350"/>
      <c r="H572" s="443"/>
    </row>
    <row r="573">
      <c r="A573" s="350"/>
      <c r="B573" s="350"/>
      <c r="H573" s="443"/>
    </row>
    <row r="574">
      <c r="A574" s="350"/>
      <c r="B574" s="350"/>
      <c r="H574" s="443"/>
    </row>
    <row r="575">
      <c r="A575" s="350"/>
      <c r="B575" s="350"/>
      <c r="H575" s="443"/>
    </row>
    <row r="576">
      <c r="A576" s="350"/>
      <c r="B576" s="350"/>
      <c r="H576" s="443"/>
    </row>
    <row r="577">
      <c r="A577" s="350"/>
      <c r="B577" s="350"/>
      <c r="H577" s="443"/>
    </row>
    <row r="578">
      <c r="A578" s="350"/>
      <c r="B578" s="350"/>
      <c r="H578" s="443"/>
    </row>
    <row r="579">
      <c r="A579" s="350"/>
      <c r="B579" s="350"/>
      <c r="H579" s="443"/>
    </row>
    <row r="580">
      <c r="A580" s="350"/>
      <c r="B580" s="350"/>
      <c r="H580" s="443"/>
    </row>
    <row r="581">
      <c r="A581" s="350"/>
      <c r="B581" s="350"/>
      <c r="H581" s="443"/>
    </row>
    <row r="582">
      <c r="A582" s="350"/>
      <c r="B582" s="350"/>
      <c r="H582" s="443"/>
    </row>
    <row r="583">
      <c r="A583" s="350"/>
      <c r="B583" s="350"/>
      <c r="H583" s="443"/>
    </row>
    <row r="584">
      <c r="A584" s="350"/>
      <c r="B584" s="350"/>
      <c r="H584" s="443"/>
    </row>
    <row r="585">
      <c r="A585" s="350"/>
      <c r="B585" s="350"/>
      <c r="H585" s="443"/>
    </row>
    <row r="586">
      <c r="A586" s="350"/>
      <c r="B586" s="350"/>
      <c r="H586" s="443"/>
    </row>
    <row r="587">
      <c r="A587" s="350"/>
      <c r="B587" s="350"/>
      <c r="H587" s="443"/>
    </row>
    <row r="588">
      <c r="A588" s="350"/>
      <c r="B588" s="350"/>
      <c r="H588" s="443"/>
    </row>
    <row r="589">
      <c r="A589" s="350"/>
      <c r="B589" s="350"/>
      <c r="H589" s="443"/>
    </row>
    <row r="590">
      <c r="A590" s="350"/>
      <c r="B590" s="350"/>
      <c r="H590" s="443"/>
    </row>
    <row r="591">
      <c r="A591" s="350"/>
      <c r="B591" s="350"/>
      <c r="H591" s="443"/>
    </row>
    <row r="592">
      <c r="A592" s="350"/>
      <c r="B592" s="350"/>
      <c r="H592" s="443"/>
    </row>
    <row r="593">
      <c r="A593" s="350"/>
      <c r="B593" s="350"/>
      <c r="H593" s="443"/>
    </row>
    <row r="594">
      <c r="A594" s="350"/>
      <c r="B594" s="350"/>
      <c r="H594" s="443"/>
    </row>
    <row r="595">
      <c r="A595" s="350"/>
      <c r="B595" s="350"/>
      <c r="H595" s="443"/>
    </row>
    <row r="596">
      <c r="A596" s="350"/>
      <c r="B596" s="350"/>
      <c r="H596" s="443"/>
    </row>
    <row r="597">
      <c r="A597" s="350"/>
      <c r="B597" s="350"/>
      <c r="H597" s="443"/>
    </row>
    <row r="598">
      <c r="A598" s="350"/>
      <c r="B598" s="350"/>
      <c r="H598" s="443"/>
    </row>
    <row r="599">
      <c r="A599" s="350"/>
      <c r="B599" s="350"/>
      <c r="H599" s="443"/>
    </row>
    <row r="600">
      <c r="A600" s="350"/>
      <c r="B600" s="350"/>
      <c r="H600" s="443"/>
    </row>
    <row r="601">
      <c r="A601" s="350"/>
      <c r="B601" s="350"/>
      <c r="H601" s="443"/>
    </row>
    <row r="602">
      <c r="A602" s="350"/>
      <c r="B602" s="350"/>
      <c r="H602" s="443"/>
    </row>
    <row r="603">
      <c r="A603" s="350"/>
      <c r="B603" s="350"/>
      <c r="H603" s="443"/>
    </row>
    <row r="604">
      <c r="A604" s="350"/>
      <c r="B604" s="350"/>
      <c r="H604" s="443"/>
    </row>
    <row r="605">
      <c r="A605" s="350"/>
      <c r="B605" s="350"/>
      <c r="H605" s="443"/>
    </row>
    <row r="606">
      <c r="A606" s="350"/>
      <c r="B606" s="350"/>
      <c r="H606" s="443"/>
    </row>
    <row r="607">
      <c r="A607" s="350"/>
      <c r="B607" s="350"/>
      <c r="H607" s="443"/>
    </row>
    <row r="608">
      <c r="A608" s="350"/>
      <c r="B608" s="350"/>
      <c r="H608" s="443"/>
    </row>
    <row r="609">
      <c r="A609" s="350"/>
      <c r="B609" s="350"/>
      <c r="H609" s="443"/>
    </row>
    <row r="610">
      <c r="A610" s="350"/>
      <c r="B610" s="350"/>
      <c r="H610" s="443"/>
    </row>
    <row r="611">
      <c r="A611" s="350"/>
      <c r="B611" s="350"/>
      <c r="H611" s="443"/>
    </row>
    <row r="612">
      <c r="A612" s="350"/>
      <c r="B612" s="350"/>
      <c r="H612" s="443"/>
    </row>
    <row r="613">
      <c r="A613" s="350"/>
      <c r="B613" s="350"/>
      <c r="H613" s="443"/>
    </row>
    <row r="614">
      <c r="A614" s="350"/>
      <c r="B614" s="350"/>
      <c r="H614" s="443"/>
    </row>
    <row r="615">
      <c r="A615" s="350"/>
      <c r="B615" s="350"/>
      <c r="H615" s="443"/>
    </row>
    <row r="616">
      <c r="A616" s="350"/>
      <c r="B616" s="350"/>
      <c r="H616" s="443"/>
    </row>
    <row r="617">
      <c r="A617" s="350"/>
      <c r="B617" s="350"/>
      <c r="H617" s="443"/>
    </row>
    <row r="618">
      <c r="A618" s="350"/>
      <c r="B618" s="350"/>
      <c r="H618" s="443"/>
    </row>
    <row r="619">
      <c r="A619" s="350"/>
      <c r="B619" s="350"/>
      <c r="H619" s="443"/>
    </row>
    <row r="620">
      <c r="A620" s="350"/>
      <c r="B620" s="350"/>
      <c r="H620" s="443"/>
    </row>
    <row r="621">
      <c r="A621" s="350"/>
      <c r="B621" s="350"/>
      <c r="H621" s="443"/>
    </row>
    <row r="622">
      <c r="A622" s="350"/>
      <c r="B622" s="350"/>
      <c r="H622" s="443"/>
    </row>
    <row r="623">
      <c r="A623" s="350"/>
      <c r="B623" s="350"/>
      <c r="H623" s="443"/>
    </row>
    <row r="624">
      <c r="A624" s="350"/>
      <c r="B624" s="350"/>
      <c r="H624" s="443"/>
    </row>
    <row r="625">
      <c r="A625" s="350"/>
      <c r="B625" s="350"/>
      <c r="H625" s="443"/>
    </row>
    <row r="626">
      <c r="A626" s="350"/>
      <c r="B626" s="350"/>
      <c r="H626" s="443"/>
    </row>
    <row r="627">
      <c r="A627" s="350"/>
      <c r="B627" s="350"/>
      <c r="H627" s="443"/>
    </row>
    <row r="628">
      <c r="A628" s="350"/>
      <c r="B628" s="350"/>
      <c r="H628" s="443"/>
    </row>
    <row r="629">
      <c r="A629" s="350"/>
      <c r="B629" s="350"/>
      <c r="H629" s="443"/>
    </row>
    <row r="630">
      <c r="A630" s="350"/>
      <c r="B630" s="350"/>
      <c r="H630" s="443"/>
    </row>
    <row r="631">
      <c r="A631" s="350"/>
      <c r="B631" s="350"/>
      <c r="H631" s="443"/>
    </row>
    <row r="632">
      <c r="A632" s="350"/>
      <c r="B632" s="350"/>
      <c r="H632" s="443"/>
    </row>
    <row r="633">
      <c r="A633" s="350"/>
      <c r="B633" s="350"/>
      <c r="H633" s="443"/>
    </row>
    <row r="634">
      <c r="A634" s="350"/>
      <c r="B634" s="350"/>
      <c r="H634" s="443"/>
    </row>
    <row r="635">
      <c r="A635" s="350"/>
      <c r="B635" s="350"/>
      <c r="H635" s="443"/>
    </row>
    <row r="636">
      <c r="A636" s="350"/>
      <c r="B636" s="350"/>
      <c r="H636" s="443"/>
    </row>
    <row r="637">
      <c r="A637" s="350"/>
      <c r="B637" s="350"/>
      <c r="H637" s="443"/>
    </row>
    <row r="638">
      <c r="A638" s="350"/>
      <c r="B638" s="350"/>
      <c r="H638" s="443"/>
    </row>
    <row r="639">
      <c r="A639" s="350"/>
      <c r="B639" s="350"/>
      <c r="H639" s="443"/>
    </row>
    <row r="640">
      <c r="A640" s="350"/>
      <c r="B640" s="350"/>
      <c r="H640" s="443"/>
    </row>
    <row r="641">
      <c r="A641" s="350"/>
      <c r="B641" s="350"/>
      <c r="H641" s="443"/>
    </row>
    <row r="642">
      <c r="A642" s="350"/>
      <c r="B642" s="350"/>
      <c r="H642" s="443"/>
    </row>
    <row r="643">
      <c r="A643" s="350"/>
      <c r="B643" s="350"/>
      <c r="H643" s="443"/>
    </row>
    <row r="644">
      <c r="A644" s="350"/>
      <c r="B644" s="350"/>
      <c r="H644" s="443"/>
    </row>
    <row r="645">
      <c r="A645" s="350"/>
      <c r="B645" s="350"/>
      <c r="H645" s="443"/>
    </row>
    <row r="646">
      <c r="A646" s="350"/>
      <c r="B646" s="350"/>
      <c r="H646" s="443"/>
    </row>
    <row r="647">
      <c r="A647" s="350"/>
      <c r="B647" s="350"/>
      <c r="H647" s="443"/>
    </row>
    <row r="648">
      <c r="A648" s="350"/>
      <c r="B648" s="350"/>
      <c r="H648" s="443"/>
    </row>
    <row r="649">
      <c r="A649" s="350"/>
      <c r="B649" s="350"/>
      <c r="H649" s="443"/>
    </row>
    <row r="650">
      <c r="A650" s="350"/>
      <c r="B650" s="350"/>
      <c r="H650" s="443"/>
    </row>
    <row r="651">
      <c r="A651" s="350"/>
      <c r="B651" s="350"/>
      <c r="H651" s="443"/>
    </row>
    <row r="652">
      <c r="A652" s="350"/>
      <c r="B652" s="350"/>
      <c r="H652" s="443"/>
    </row>
    <row r="653">
      <c r="A653" s="350"/>
      <c r="B653" s="350"/>
      <c r="H653" s="443"/>
    </row>
    <row r="654">
      <c r="A654" s="350"/>
      <c r="B654" s="350"/>
      <c r="H654" s="443"/>
    </row>
    <row r="655">
      <c r="A655" s="350"/>
      <c r="B655" s="350"/>
      <c r="H655" s="443"/>
    </row>
    <row r="656">
      <c r="A656" s="350"/>
      <c r="B656" s="350"/>
      <c r="H656" s="443"/>
    </row>
    <row r="657">
      <c r="A657" s="350"/>
      <c r="B657" s="350"/>
      <c r="H657" s="443"/>
    </row>
    <row r="658">
      <c r="A658" s="350"/>
      <c r="B658" s="350"/>
      <c r="H658" s="443"/>
    </row>
    <row r="659">
      <c r="A659" s="350"/>
      <c r="B659" s="350"/>
      <c r="H659" s="443"/>
    </row>
    <row r="660">
      <c r="A660" s="350"/>
      <c r="B660" s="350"/>
      <c r="H660" s="443"/>
    </row>
    <row r="661">
      <c r="A661" s="350"/>
      <c r="B661" s="350"/>
      <c r="H661" s="443"/>
    </row>
    <row r="662">
      <c r="A662" s="350"/>
      <c r="B662" s="350"/>
      <c r="H662" s="443"/>
    </row>
    <row r="663">
      <c r="A663" s="350"/>
      <c r="B663" s="350"/>
      <c r="H663" s="443"/>
    </row>
    <row r="664">
      <c r="A664" s="350"/>
      <c r="B664" s="350"/>
      <c r="H664" s="443"/>
    </row>
    <row r="665">
      <c r="A665" s="350"/>
      <c r="B665" s="350"/>
      <c r="H665" s="443"/>
    </row>
    <row r="666">
      <c r="A666" s="350"/>
      <c r="B666" s="350"/>
      <c r="H666" s="443"/>
    </row>
    <row r="667">
      <c r="A667" s="350"/>
      <c r="B667" s="350"/>
      <c r="H667" s="443"/>
    </row>
    <row r="668">
      <c r="A668" s="350"/>
      <c r="B668" s="350"/>
      <c r="H668" s="443"/>
    </row>
    <row r="669">
      <c r="A669" s="350"/>
      <c r="B669" s="350"/>
      <c r="H669" s="443"/>
    </row>
    <row r="670">
      <c r="A670" s="350"/>
      <c r="B670" s="350"/>
      <c r="H670" s="443"/>
    </row>
    <row r="671">
      <c r="A671" s="350"/>
      <c r="B671" s="350"/>
      <c r="H671" s="443"/>
    </row>
    <row r="672">
      <c r="A672" s="350"/>
      <c r="B672" s="350"/>
      <c r="H672" s="443"/>
    </row>
    <row r="673">
      <c r="A673" s="350"/>
      <c r="B673" s="350"/>
      <c r="H673" s="443"/>
    </row>
    <row r="674">
      <c r="A674" s="350"/>
      <c r="B674" s="350"/>
      <c r="H674" s="443"/>
    </row>
    <row r="675">
      <c r="A675" s="350"/>
      <c r="B675" s="350"/>
      <c r="H675" s="443"/>
    </row>
    <row r="676">
      <c r="A676" s="350"/>
      <c r="B676" s="350"/>
      <c r="H676" s="443"/>
    </row>
    <row r="677">
      <c r="A677" s="350"/>
      <c r="B677" s="350"/>
      <c r="H677" s="443"/>
    </row>
    <row r="678">
      <c r="A678" s="350"/>
      <c r="B678" s="350"/>
      <c r="H678" s="443"/>
    </row>
    <row r="679">
      <c r="A679" s="350"/>
      <c r="B679" s="350"/>
      <c r="H679" s="443"/>
    </row>
    <row r="680">
      <c r="A680" s="350"/>
      <c r="B680" s="350"/>
      <c r="H680" s="443"/>
    </row>
    <row r="681">
      <c r="A681" s="350"/>
      <c r="B681" s="350"/>
      <c r="H681" s="443"/>
    </row>
    <row r="682">
      <c r="A682" s="350"/>
      <c r="B682" s="350"/>
      <c r="H682" s="443"/>
    </row>
    <row r="683">
      <c r="A683" s="350"/>
      <c r="B683" s="350"/>
      <c r="H683" s="443"/>
    </row>
    <row r="684">
      <c r="A684" s="350"/>
      <c r="B684" s="350"/>
      <c r="H684" s="443"/>
    </row>
    <row r="685">
      <c r="A685" s="350"/>
      <c r="B685" s="350"/>
      <c r="H685" s="443"/>
    </row>
    <row r="686">
      <c r="A686" s="350"/>
      <c r="B686" s="350"/>
      <c r="H686" s="443"/>
    </row>
    <row r="687">
      <c r="A687" s="350"/>
      <c r="B687" s="350"/>
      <c r="H687" s="443"/>
    </row>
    <row r="688">
      <c r="A688" s="350"/>
      <c r="B688" s="350"/>
      <c r="H688" s="443"/>
    </row>
    <row r="689">
      <c r="A689" s="350"/>
      <c r="B689" s="350"/>
      <c r="H689" s="443"/>
    </row>
    <row r="690">
      <c r="A690" s="350"/>
      <c r="B690" s="350"/>
      <c r="H690" s="443"/>
    </row>
    <row r="691">
      <c r="A691" s="350"/>
      <c r="B691" s="350"/>
      <c r="H691" s="443"/>
    </row>
    <row r="692">
      <c r="A692" s="350"/>
      <c r="B692" s="350"/>
      <c r="H692" s="443"/>
    </row>
    <row r="693">
      <c r="A693" s="350"/>
      <c r="B693" s="350"/>
      <c r="H693" s="443"/>
    </row>
    <row r="694">
      <c r="A694" s="350"/>
      <c r="B694" s="350"/>
      <c r="H694" s="443"/>
    </row>
    <row r="695">
      <c r="A695" s="350"/>
      <c r="B695" s="350"/>
      <c r="H695" s="443"/>
    </row>
    <row r="696">
      <c r="A696" s="350"/>
      <c r="B696" s="350"/>
      <c r="H696" s="443"/>
    </row>
    <row r="697">
      <c r="A697" s="350"/>
      <c r="B697" s="350"/>
      <c r="H697" s="443"/>
    </row>
    <row r="698">
      <c r="A698" s="350"/>
      <c r="B698" s="350"/>
      <c r="H698" s="443"/>
    </row>
    <row r="699">
      <c r="A699" s="350"/>
      <c r="B699" s="350"/>
      <c r="H699" s="443"/>
    </row>
    <row r="700">
      <c r="A700" s="350"/>
      <c r="B700" s="350"/>
      <c r="H700" s="443"/>
    </row>
    <row r="701">
      <c r="A701" s="350"/>
      <c r="B701" s="350"/>
      <c r="H701" s="443"/>
    </row>
    <row r="702">
      <c r="A702" s="350"/>
      <c r="B702" s="350"/>
      <c r="H702" s="443"/>
    </row>
    <row r="703">
      <c r="A703" s="350"/>
      <c r="B703" s="350"/>
      <c r="H703" s="443"/>
    </row>
    <row r="704">
      <c r="A704" s="350"/>
      <c r="B704" s="350"/>
      <c r="H704" s="443"/>
    </row>
    <row r="705">
      <c r="A705" s="350"/>
      <c r="B705" s="350"/>
      <c r="H705" s="443"/>
    </row>
    <row r="706">
      <c r="A706" s="350"/>
      <c r="B706" s="350"/>
      <c r="H706" s="443"/>
    </row>
    <row r="707">
      <c r="A707" s="350"/>
      <c r="B707" s="350"/>
      <c r="H707" s="443"/>
    </row>
    <row r="708">
      <c r="A708" s="350"/>
      <c r="B708" s="350"/>
      <c r="H708" s="443"/>
    </row>
    <row r="709">
      <c r="A709" s="350"/>
      <c r="B709" s="350"/>
      <c r="H709" s="443"/>
    </row>
    <row r="710">
      <c r="A710" s="350"/>
      <c r="B710" s="350"/>
      <c r="H710" s="443"/>
    </row>
    <row r="711">
      <c r="A711" s="350"/>
      <c r="B711" s="350"/>
      <c r="H711" s="443"/>
    </row>
    <row r="712">
      <c r="A712" s="350"/>
      <c r="B712" s="350"/>
      <c r="H712" s="443"/>
    </row>
    <row r="713">
      <c r="A713" s="350"/>
      <c r="B713" s="350"/>
      <c r="H713" s="443"/>
    </row>
    <row r="714">
      <c r="A714" s="350"/>
      <c r="B714" s="350"/>
      <c r="H714" s="443"/>
    </row>
    <row r="715">
      <c r="A715" s="350"/>
      <c r="B715" s="350"/>
      <c r="H715" s="443"/>
    </row>
    <row r="716">
      <c r="A716" s="350"/>
      <c r="B716" s="350"/>
      <c r="H716" s="443"/>
    </row>
    <row r="717">
      <c r="A717" s="350"/>
      <c r="B717" s="350"/>
      <c r="H717" s="443"/>
    </row>
    <row r="718">
      <c r="A718" s="350"/>
      <c r="B718" s="350"/>
      <c r="H718" s="443"/>
    </row>
    <row r="719">
      <c r="A719" s="350"/>
      <c r="B719" s="350"/>
      <c r="H719" s="443"/>
    </row>
    <row r="720">
      <c r="A720" s="350"/>
      <c r="B720" s="350"/>
      <c r="H720" s="443"/>
    </row>
    <row r="721">
      <c r="A721" s="350"/>
      <c r="B721" s="350"/>
      <c r="H721" s="443"/>
    </row>
    <row r="722">
      <c r="A722" s="350"/>
      <c r="B722" s="350"/>
      <c r="H722" s="443"/>
    </row>
    <row r="723">
      <c r="A723" s="350"/>
      <c r="B723" s="350"/>
      <c r="H723" s="443"/>
    </row>
    <row r="724">
      <c r="A724" s="350"/>
      <c r="B724" s="350"/>
      <c r="H724" s="443"/>
    </row>
    <row r="725">
      <c r="A725" s="350"/>
      <c r="B725" s="350"/>
      <c r="H725" s="443"/>
    </row>
    <row r="726">
      <c r="A726" s="350"/>
      <c r="B726" s="350"/>
      <c r="H726" s="443"/>
    </row>
    <row r="727">
      <c r="A727" s="350"/>
      <c r="B727" s="350"/>
      <c r="H727" s="443"/>
    </row>
    <row r="728">
      <c r="A728" s="350"/>
      <c r="B728" s="350"/>
      <c r="H728" s="443"/>
    </row>
    <row r="729">
      <c r="A729" s="350"/>
      <c r="B729" s="350"/>
      <c r="H729" s="443"/>
    </row>
    <row r="730">
      <c r="A730" s="350"/>
      <c r="B730" s="350"/>
      <c r="H730" s="443"/>
    </row>
    <row r="731">
      <c r="A731" s="350"/>
      <c r="B731" s="350"/>
      <c r="H731" s="443"/>
    </row>
    <row r="732">
      <c r="A732" s="350"/>
      <c r="B732" s="350"/>
      <c r="H732" s="443"/>
    </row>
    <row r="733">
      <c r="A733" s="350"/>
      <c r="B733" s="350"/>
      <c r="H733" s="443"/>
    </row>
    <row r="734">
      <c r="A734" s="350"/>
      <c r="B734" s="350"/>
      <c r="H734" s="443"/>
    </row>
    <row r="735">
      <c r="A735" s="350"/>
      <c r="B735" s="350"/>
      <c r="H735" s="443"/>
    </row>
    <row r="736">
      <c r="A736" s="350"/>
      <c r="B736" s="350"/>
      <c r="H736" s="443"/>
    </row>
    <row r="737">
      <c r="A737" s="350"/>
      <c r="B737" s="350"/>
      <c r="H737" s="443"/>
    </row>
    <row r="738">
      <c r="A738" s="350"/>
      <c r="B738" s="350"/>
      <c r="H738" s="443"/>
    </row>
    <row r="739">
      <c r="A739" s="350"/>
      <c r="B739" s="350"/>
      <c r="H739" s="443"/>
    </row>
    <row r="740">
      <c r="A740" s="350"/>
      <c r="B740" s="350"/>
      <c r="H740" s="443"/>
    </row>
    <row r="741">
      <c r="A741" s="350"/>
      <c r="B741" s="350"/>
      <c r="H741" s="443"/>
    </row>
    <row r="742">
      <c r="A742" s="350"/>
      <c r="B742" s="350"/>
      <c r="H742" s="443"/>
    </row>
    <row r="743">
      <c r="A743" s="350"/>
      <c r="B743" s="350"/>
      <c r="H743" s="443"/>
    </row>
    <row r="744">
      <c r="A744" s="350"/>
      <c r="B744" s="350"/>
      <c r="H744" s="443"/>
    </row>
    <row r="745">
      <c r="A745" s="350"/>
      <c r="B745" s="350"/>
      <c r="H745" s="443"/>
    </row>
    <row r="746">
      <c r="A746" s="350"/>
      <c r="B746" s="350"/>
      <c r="H746" s="443"/>
    </row>
    <row r="747">
      <c r="A747" s="350"/>
      <c r="B747" s="350"/>
      <c r="H747" s="443"/>
    </row>
    <row r="748">
      <c r="A748" s="350"/>
      <c r="B748" s="350"/>
      <c r="H748" s="443"/>
    </row>
    <row r="749">
      <c r="A749" s="350"/>
      <c r="B749" s="350"/>
      <c r="H749" s="443"/>
    </row>
    <row r="750">
      <c r="A750" s="350"/>
      <c r="B750" s="350"/>
      <c r="H750" s="443"/>
    </row>
    <row r="751">
      <c r="A751" s="350"/>
      <c r="B751" s="350"/>
      <c r="H751" s="443"/>
    </row>
    <row r="752">
      <c r="A752" s="350"/>
      <c r="B752" s="350"/>
      <c r="H752" s="443"/>
    </row>
    <row r="753">
      <c r="A753" s="350"/>
      <c r="B753" s="350"/>
      <c r="H753" s="443"/>
    </row>
    <row r="754">
      <c r="A754" s="350"/>
      <c r="B754" s="350"/>
      <c r="H754" s="443"/>
    </row>
    <row r="755">
      <c r="A755" s="350"/>
      <c r="B755" s="350"/>
      <c r="H755" s="443"/>
    </row>
    <row r="756">
      <c r="A756" s="350"/>
      <c r="B756" s="350"/>
      <c r="H756" s="443"/>
    </row>
    <row r="757">
      <c r="A757" s="350"/>
      <c r="B757" s="350"/>
      <c r="H757" s="443"/>
    </row>
    <row r="758">
      <c r="A758" s="350"/>
      <c r="B758" s="350"/>
      <c r="H758" s="443"/>
    </row>
    <row r="759">
      <c r="A759" s="350"/>
      <c r="B759" s="350"/>
      <c r="H759" s="443"/>
    </row>
    <row r="760">
      <c r="A760" s="350"/>
      <c r="B760" s="350"/>
      <c r="H760" s="443"/>
    </row>
    <row r="761">
      <c r="A761" s="350"/>
      <c r="B761" s="350"/>
      <c r="H761" s="443"/>
    </row>
    <row r="762">
      <c r="A762" s="350"/>
      <c r="B762" s="350"/>
      <c r="H762" s="443"/>
    </row>
    <row r="763">
      <c r="A763" s="350"/>
      <c r="B763" s="350"/>
      <c r="H763" s="443"/>
    </row>
    <row r="764">
      <c r="A764" s="350"/>
      <c r="B764" s="350"/>
      <c r="H764" s="443"/>
    </row>
    <row r="765">
      <c r="A765" s="350"/>
      <c r="B765" s="350"/>
      <c r="H765" s="443"/>
    </row>
    <row r="766">
      <c r="A766" s="350"/>
      <c r="B766" s="350"/>
      <c r="H766" s="443"/>
    </row>
    <row r="767">
      <c r="A767" s="350"/>
      <c r="B767" s="350"/>
      <c r="H767" s="443"/>
    </row>
    <row r="768">
      <c r="A768" s="350"/>
      <c r="B768" s="350"/>
      <c r="H768" s="443"/>
    </row>
    <row r="769">
      <c r="A769" s="350"/>
      <c r="B769" s="350"/>
      <c r="H769" s="443"/>
    </row>
    <row r="770">
      <c r="A770" s="350"/>
      <c r="B770" s="350"/>
      <c r="H770" s="443"/>
    </row>
    <row r="771">
      <c r="A771" s="350"/>
      <c r="B771" s="350"/>
      <c r="H771" s="443"/>
    </row>
    <row r="772">
      <c r="A772" s="350"/>
      <c r="B772" s="350"/>
      <c r="H772" s="443"/>
    </row>
    <row r="773">
      <c r="A773" s="350"/>
      <c r="B773" s="350"/>
      <c r="H773" s="443"/>
    </row>
    <row r="774">
      <c r="A774" s="350"/>
      <c r="B774" s="350"/>
      <c r="H774" s="443"/>
    </row>
    <row r="775">
      <c r="A775" s="350"/>
      <c r="B775" s="350"/>
      <c r="H775" s="443"/>
    </row>
    <row r="776">
      <c r="A776" s="350"/>
      <c r="B776" s="350"/>
      <c r="H776" s="443"/>
    </row>
    <row r="777">
      <c r="A777" s="350"/>
      <c r="B777" s="350"/>
      <c r="H777" s="443"/>
    </row>
    <row r="778">
      <c r="A778" s="350"/>
      <c r="B778" s="350"/>
      <c r="H778" s="443"/>
    </row>
    <row r="779">
      <c r="A779" s="350"/>
      <c r="B779" s="350"/>
      <c r="H779" s="443"/>
    </row>
    <row r="780">
      <c r="A780" s="350"/>
      <c r="B780" s="350"/>
      <c r="H780" s="443"/>
    </row>
    <row r="781">
      <c r="A781" s="350"/>
      <c r="B781" s="350"/>
      <c r="H781" s="443"/>
    </row>
    <row r="782">
      <c r="A782" s="350"/>
      <c r="B782" s="350"/>
      <c r="H782" s="443"/>
    </row>
    <row r="783">
      <c r="A783" s="350"/>
      <c r="B783" s="350"/>
      <c r="H783" s="443"/>
    </row>
    <row r="784">
      <c r="A784" s="350"/>
      <c r="B784" s="350"/>
      <c r="H784" s="443"/>
    </row>
    <row r="785">
      <c r="A785" s="350"/>
      <c r="B785" s="350"/>
      <c r="H785" s="443"/>
    </row>
    <row r="786">
      <c r="A786" s="350"/>
      <c r="B786" s="350"/>
      <c r="H786" s="443"/>
    </row>
    <row r="787">
      <c r="A787" s="350"/>
      <c r="B787" s="350"/>
      <c r="H787" s="443"/>
    </row>
    <row r="788">
      <c r="A788" s="350"/>
      <c r="B788" s="350"/>
      <c r="H788" s="443"/>
    </row>
    <row r="789">
      <c r="A789" s="350"/>
      <c r="B789" s="350"/>
      <c r="H789" s="443"/>
    </row>
    <row r="790">
      <c r="A790" s="350"/>
      <c r="B790" s="350"/>
      <c r="H790" s="443"/>
    </row>
    <row r="791">
      <c r="A791" s="350"/>
      <c r="B791" s="350"/>
      <c r="H791" s="443"/>
    </row>
    <row r="792">
      <c r="A792" s="350"/>
      <c r="B792" s="350"/>
      <c r="H792" s="443"/>
    </row>
    <row r="793">
      <c r="A793" s="350"/>
      <c r="B793" s="350"/>
      <c r="H793" s="443"/>
    </row>
    <row r="794">
      <c r="A794" s="350"/>
      <c r="B794" s="350"/>
      <c r="H794" s="443"/>
    </row>
    <row r="795">
      <c r="A795" s="350"/>
      <c r="B795" s="350"/>
      <c r="H795" s="443"/>
    </row>
    <row r="796">
      <c r="A796" s="350"/>
      <c r="B796" s="350"/>
      <c r="H796" s="443"/>
    </row>
    <row r="797">
      <c r="A797" s="350"/>
      <c r="B797" s="350"/>
      <c r="H797" s="443"/>
    </row>
    <row r="798">
      <c r="A798" s="350"/>
      <c r="B798" s="350"/>
      <c r="H798" s="443"/>
    </row>
    <row r="799">
      <c r="A799" s="350"/>
      <c r="B799" s="350"/>
      <c r="H799" s="443"/>
    </row>
    <row r="800">
      <c r="A800" s="350"/>
      <c r="B800" s="350"/>
      <c r="H800" s="443"/>
    </row>
    <row r="801">
      <c r="A801" s="350"/>
      <c r="B801" s="350"/>
      <c r="H801" s="443"/>
    </row>
    <row r="802">
      <c r="A802" s="350"/>
      <c r="B802" s="350"/>
      <c r="H802" s="443"/>
    </row>
    <row r="803">
      <c r="A803" s="350"/>
      <c r="B803" s="350"/>
      <c r="H803" s="443"/>
    </row>
    <row r="804">
      <c r="A804" s="350"/>
      <c r="B804" s="350"/>
      <c r="H804" s="443"/>
    </row>
    <row r="805">
      <c r="A805" s="350"/>
      <c r="B805" s="350"/>
      <c r="H805" s="443"/>
    </row>
    <row r="806">
      <c r="A806" s="350"/>
      <c r="B806" s="350"/>
      <c r="H806" s="443"/>
    </row>
    <row r="807">
      <c r="A807" s="350"/>
      <c r="B807" s="350"/>
      <c r="H807" s="443"/>
    </row>
    <row r="808">
      <c r="A808" s="350"/>
      <c r="B808" s="350"/>
      <c r="H808" s="443"/>
    </row>
    <row r="809">
      <c r="A809" s="350"/>
      <c r="B809" s="350"/>
      <c r="H809" s="443"/>
    </row>
    <row r="810">
      <c r="A810" s="350"/>
      <c r="B810" s="350"/>
      <c r="H810" s="443"/>
    </row>
    <row r="811">
      <c r="A811" s="350"/>
      <c r="B811" s="350"/>
      <c r="H811" s="443"/>
    </row>
    <row r="812">
      <c r="A812" s="350"/>
      <c r="B812" s="350"/>
      <c r="H812" s="443"/>
    </row>
    <row r="813">
      <c r="A813" s="350"/>
      <c r="B813" s="350"/>
      <c r="H813" s="443"/>
    </row>
    <row r="814">
      <c r="A814" s="350"/>
      <c r="B814" s="350"/>
      <c r="H814" s="443"/>
    </row>
    <row r="815">
      <c r="A815" s="350"/>
      <c r="B815" s="350"/>
      <c r="H815" s="443"/>
    </row>
    <row r="816">
      <c r="A816" s="350"/>
      <c r="B816" s="350"/>
      <c r="H816" s="443"/>
    </row>
    <row r="817">
      <c r="A817" s="350"/>
      <c r="B817" s="350"/>
      <c r="H817" s="443"/>
    </row>
    <row r="818">
      <c r="A818" s="350"/>
      <c r="B818" s="350"/>
      <c r="H818" s="443"/>
    </row>
    <row r="819">
      <c r="A819" s="350"/>
      <c r="B819" s="350"/>
      <c r="H819" s="443"/>
    </row>
    <row r="820">
      <c r="A820" s="350"/>
      <c r="B820" s="350"/>
      <c r="H820" s="443"/>
    </row>
    <row r="821">
      <c r="A821" s="350"/>
      <c r="B821" s="350"/>
      <c r="H821" s="443"/>
    </row>
    <row r="822">
      <c r="A822" s="350"/>
      <c r="B822" s="350"/>
      <c r="H822" s="443"/>
    </row>
    <row r="823">
      <c r="A823" s="350"/>
      <c r="B823" s="350"/>
      <c r="H823" s="443"/>
    </row>
    <row r="824">
      <c r="A824" s="350"/>
      <c r="B824" s="350"/>
      <c r="H824" s="443"/>
    </row>
    <row r="825">
      <c r="A825" s="350"/>
      <c r="B825" s="350"/>
      <c r="H825" s="443"/>
    </row>
    <row r="826">
      <c r="A826" s="350"/>
      <c r="B826" s="350"/>
      <c r="H826" s="443"/>
    </row>
    <row r="827">
      <c r="A827" s="350"/>
      <c r="B827" s="350"/>
      <c r="H827" s="443"/>
    </row>
    <row r="828">
      <c r="A828" s="350"/>
      <c r="B828" s="350"/>
      <c r="H828" s="443"/>
    </row>
    <row r="829">
      <c r="A829" s="350"/>
      <c r="B829" s="350"/>
      <c r="H829" s="443"/>
    </row>
    <row r="830">
      <c r="A830" s="350"/>
      <c r="B830" s="350"/>
      <c r="H830" s="443"/>
    </row>
    <row r="831">
      <c r="A831" s="350"/>
      <c r="B831" s="350"/>
      <c r="H831" s="443"/>
    </row>
    <row r="832">
      <c r="A832" s="350"/>
      <c r="B832" s="350"/>
      <c r="H832" s="443"/>
    </row>
    <row r="833">
      <c r="A833" s="350"/>
      <c r="B833" s="350"/>
      <c r="H833" s="443"/>
    </row>
    <row r="834">
      <c r="A834" s="350"/>
      <c r="B834" s="350"/>
      <c r="H834" s="443"/>
    </row>
    <row r="835">
      <c r="A835" s="350"/>
      <c r="B835" s="350"/>
      <c r="H835" s="443"/>
    </row>
    <row r="836">
      <c r="A836" s="350"/>
      <c r="B836" s="350"/>
      <c r="H836" s="443"/>
    </row>
    <row r="837">
      <c r="A837" s="350"/>
      <c r="B837" s="350"/>
      <c r="H837" s="443"/>
    </row>
    <row r="838">
      <c r="A838" s="350"/>
      <c r="B838" s="350"/>
      <c r="H838" s="443"/>
    </row>
    <row r="839">
      <c r="A839" s="350"/>
      <c r="B839" s="350"/>
      <c r="H839" s="443"/>
    </row>
    <row r="840">
      <c r="A840" s="350"/>
      <c r="B840" s="350"/>
      <c r="H840" s="443"/>
    </row>
    <row r="841">
      <c r="A841" s="350"/>
      <c r="B841" s="350"/>
      <c r="H841" s="443"/>
    </row>
    <row r="842">
      <c r="A842" s="350"/>
      <c r="B842" s="350"/>
      <c r="H842" s="443"/>
    </row>
    <row r="843">
      <c r="A843" s="350"/>
      <c r="B843" s="350"/>
      <c r="H843" s="443"/>
    </row>
    <row r="844">
      <c r="A844" s="350"/>
      <c r="B844" s="350"/>
      <c r="H844" s="443"/>
    </row>
    <row r="845">
      <c r="A845" s="350"/>
      <c r="B845" s="350"/>
      <c r="H845" s="443"/>
    </row>
    <row r="846">
      <c r="A846" s="350"/>
      <c r="B846" s="350"/>
      <c r="H846" s="443"/>
    </row>
    <row r="847">
      <c r="A847" s="350"/>
      <c r="B847" s="350"/>
      <c r="H847" s="443"/>
    </row>
    <row r="848">
      <c r="A848" s="350"/>
      <c r="B848" s="350"/>
      <c r="H848" s="443"/>
    </row>
    <row r="849">
      <c r="A849" s="350"/>
      <c r="B849" s="350"/>
      <c r="H849" s="443"/>
    </row>
    <row r="850">
      <c r="A850" s="350"/>
      <c r="B850" s="350"/>
      <c r="H850" s="443"/>
    </row>
    <row r="851">
      <c r="A851" s="350"/>
      <c r="B851" s="350"/>
      <c r="H851" s="443"/>
    </row>
    <row r="852">
      <c r="A852" s="350"/>
      <c r="B852" s="350"/>
      <c r="H852" s="443"/>
    </row>
    <row r="853">
      <c r="A853" s="350"/>
      <c r="B853" s="350"/>
      <c r="H853" s="443"/>
    </row>
    <row r="854">
      <c r="A854" s="350"/>
      <c r="B854" s="350"/>
      <c r="H854" s="443"/>
    </row>
    <row r="855">
      <c r="A855" s="350"/>
      <c r="B855" s="350"/>
      <c r="H855" s="443"/>
    </row>
    <row r="856">
      <c r="A856" s="350"/>
      <c r="B856" s="350"/>
      <c r="H856" s="443"/>
    </row>
    <row r="857">
      <c r="A857" s="350"/>
      <c r="B857" s="350"/>
      <c r="H857" s="443"/>
    </row>
    <row r="858">
      <c r="A858" s="350"/>
      <c r="B858" s="350"/>
      <c r="H858" s="443"/>
    </row>
    <row r="859">
      <c r="A859" s="350"/>
      <c r="B859" s="350"/>
      <c r="H859" s="443"/>
    </row>
    <row r="860">
      <c r="A860" s="350"/>
      <c r="B860" s="350"/>
      <c r="H860" s="443"/>
    </row>
    <row r="861">
      <c r="A861" s="350"/>
      <c r="B861" s="350"/>
      <c r="H861" s="443"/>
    </row>
    <row r="862">
      <c r="A862" s="350"/>
      <c r="B862" s="350"/>
      <c r="H862" s="443"/>
    </row>
    <row r="863">
      <c r="A863" s="350"/>
      <c r="B863" s="350"/>
      <c r="H863" s="443"/>
    </row>
    <row r="864">
      <c r="A864" s="350"/>
      <c r="B864" s="350"/>
      <c r="H864" s="443"/>
    </row>
    <row r="865">
      <c r="A865" s="350"/>
      <c r="B865" s="350"/>
      <c r="H865" s="443"/>
    </row>
    <row r="866">
      <c r="A866" s="350"/>
      <c r="B866" s="350"/>
      <c r="H866" s="443"/>
    </row>
    <row r="867">
      <c r="A867" s="350"/>
      <c r="B867" s="350"/>
      <c r="H867" s="443"/>
    </row>
    <row r="868">
      <c r="A868" s="350"/>
      <c r="B868" s="350"/>
      <c r="H868" s="443"/>
    </row>
    <row r="869">
      <c r="A869" s="350"/>
      <c r="B869" s="350"/>
      <c r="H869" s="443"/>
    </row>
    <row r="870">
      <c r="A870" s="350"/>
      <c r="B870" s="350"/>
      <c r="H870" s="443"/>
    </row>
    <row r="871">
      <c r="A871" s="350"/>
      <c r="B871" s="350"/>
      <c r="H871" s="443"/>
    </row>
    <row r="872">
      <c r="A872" s="350"/>
      <c r="B872" s="350"/>
      <c r="H872" s="443"/>
    </row>
    <row r="873">
      <c r="A873" s="350"/>
      <c r="B873" s="350"/>
      <c r="H873" s="443"/>
    </row>
    <row r="874">
      <c r="A874" s="350"/>
      <c r="B874" s="350"/>
      <c r="H874" s="443"/>
    </row>
    <row r="875">
      <c r="A875" s="350"/>
      <c r="B875" s="350"/>
      <c r="H875" s="443"/>
    </row>
    <row r="876">
      <c r="A876" s="350"/>
      <c r="B876" s="350"/>
      <c r="H876" s="443"/>
    </row>
    <row r="877">
      <c r="A877" s="350"/>
      <c r="B877" s="350"/>
      <c r="H877" s="443"/>
    </row>
    <row r="878">
      <c r="A878" s="350"/>
      <c r="B878" s="350"/>
      <c r="H878" s="443"/>
    </row>
    <row r="879">
      <c r="A879" s="350"/>
      <c r="B879" s="350"/>
      <c r="H879" s="443"/>
    </row>
    <row r="880">
      <c r="A880" s="350"/>
      <c r="B880" s="350"/>
      <c r="H880" s="443"/>
    </row>
    <row r="881">
      <c r="A881" s="350"/>
      <c r="B881" s="350"/>
      <c r="H881" s="443"/>
    </row>
    <row r="882">
      <c r="A882" s="350"/>
      <c r="B882" s="350"/>
      <c r="H882" s="443"/>
    </row>
    <row r="883">
      <c r="A883" s="350"/>
      <c r="B883" s="350"/>
      <c r="H883" s="443"/>
    </row>
    <row r="884">
      <c r="A884" s="350"/>
      <c r="B884" s="350"/>
      <c r="H884" s="443"/>
    </row>
    <row r="885">
      <c r="A885" s="350"/>
      <c r="B885" s="350"/>
      <c r="H885" s="443"/>
    </row>
    <row r="886">
      <c r="A886" s="350"/>
      <c r="B886" s="350"/>
      <c r="H886" s="443"/>
    </row>
    <row r="887">
      <c r="A887" s="350"/>
      <c r="B887" s="350"/>
      <c r="H887" s="443"/>
    </row>
    <row r="888">
      <c r="A888" s="350"/>
      <c r="B888" s="350"/>
      <c r="H888" s="443"/>
    </row>
    <row r="889">
      <c r="A889" s="350"/>
      <c r="B889" s="350"/>
      <c r="H889" s="443"/>
    </row>
    <row r="890">
      <c r="A890" s="350"/>
      <c r="B890" s="350"/>
      <c r="H890" s="443"/>
    </row>
    <row r="891">
      <c r="A891" s="350"/>
      <c r="B891" s="350"/>
      <c r="H891" s="443"/>
    </row>
    <row r="892">
      <c r="A892" s="350"/>
      <c r="B892" s="350"/>
      <c r="H892" s="443"/>
    </row>
    <row r="893">
      <c r="A893" s="350"/>
      <c r="B893" s="350"/>
      <c r="H893" s="443"/>
    </row>
    <row r="894">
      <c r="A894" s="350"/>
      <c r="B894" s="350"/>
      <c r="H894" s="443"/>
    </row>
    <row r="895">
      <c r="A895" s="350"/>
      <c r="B895" s="350"/>
      <c r="H895" s="443"/>
    </row>
    <row r="896">
      <c r="A896" s="350"/>
      <c r="B896" s="350"/>
      <c r="H896" s="443"/>
    </row>
    <row r="897">
      <c r="A897" s="350"/>
      <c r="B897" s="350"/>
      <c r="H897" s="443"/>
    </row>
    <row r="898">
      <c r="A898" s="350"/>
      <c r="B898" s="350"/>
      <c r="H898" s="443"/>
    </row>
    <row r="899">
      <c r="A899" s="350"/>
      <c r="B899" s="350"/>
      <c r="H899" s="443"/>
    </row>
    <row r="900">
      <c r="A900" s="350"/>
      <c r="B900" s="350"/>
      <c r="H900" s="443"/>
    </row>
    <row r="901">
      <c r="A901" s="350"/>
      <c r="B901" s="350"/>
      <c r="H901" s="443"/>
    </row>
    <row r="902">
      <c r="A902" s="350"/>
      <c r="B902" s="350"/>
      <c r="H902" s="443"/>
    </row>
    <row r="903">
      <c r="A903" s="350"/>
      <c r="B903" s="350"/>
      <c r="H903" s="443"/>
    </row>
    <row r="904">
      <c r="A904" s="350"/>
      <c r="B904" s="350"/>
      <c r="H904" s="443"/>
    </row>
    <row r="905">
      <c r="A905" s="350"/>
      <c r="B905" s="350"/>
      <c r="H905" s="443"/>
    </row>
    <row r="906">
      <c r="A906" s="350"/>
      <c r="B906" s="350"/>
      <c r="H906" s="443"/>
    </row>
    <row r="907">
      <c r="A907" s="350"/>
      <c r="B907" s="350"/>
      <c r="H907" s="443"/>
    </row>
    <row r="908">
      <c r="A908" s="350"/>
      <c r="B908" s="350"/>
      <c r="H908" s="443"/>
    </row>
    <row r="909">
      <c r="A909" s="350"/>
      <c r="B909" s="350"/>
      <c r="H909" s="443"/>
    </row>
    <row r="910">
      <c r="A910" s="350"/>
      <c r="B910" s="350"/>
      <c r="H910" s="443"/>
    </row>
    <row r="911">
      <c r="A911" s="350"/>
      <c r="B911" s="350"/>
      <c r="H911" s="443"/>
    </row>
    <row r="912">
      <c r="A912" s="350"/>
      <c r="B912" s="350"/>
      <c r="H912" s="443"/>
    </row>
    <row r="913">
      <c r="A913" s="350"/>
      <c r="B913" s="350"/>
      <c r="H913" s="443"/>
    </row>
    <row r="914">
      <c r="A914" s="350"/>
      <c r="B914" s="350"/>
      <c r="H914" s="443"/>
    </row>
    <row r="915">
      <c r="A915" s="350"/>
      <c r="B915" s="350"/>
      <c r="H915" s="443"/>
    </row>
    <row r="916">
      <c r="A916" s="350"/>
      <c r="B916" s="350"/>
      <c r="H916" s="443"/>
    </row>
    <row r="917">
      <c r="A917" s="350"/>
      <c r="B917" s="350"/>
      <c r="H917" s="443"/>
    </row>
    <row r="918">
      <c r="A918" s="350"/>
      <c r="B918" s="350"/>
      <c r="H918" s="443"/>
    </row>
    <row r="919">
      <c r="A919" s="350"/>
      <c r="B919" s="350"/>
      <c r="H919" s="443"/>
    </row>
    <row r="920">
      <c r="A920" s="350"/>
      <c r="B920" s="350"/>
      <c r="H920" s="443"/>
    </row>
    <row r="921">
      <c r="A921" s="350"/>
      <c r="B921" s="350"/>
      <c r="H921" s="443"/>
    </row>
    <row r="922">
      <c r="A922" s="350"/>
      <c r="B922" s="350"/>
      <c r="H922" s="443"/>
    </row>
    <row r="923">
      <c r="A923" s="350"/>
      <c r="B923" s="350"/>
      <c r="H923" s="443"/>
    </row>
    <row r="924">
      <c r="A924" s="350"/>
      <c r="B924" s="350"/>
      <c r="H924" s="443"/>
    </row>
    <row r="925">
      <c r="A925" s="350"/>
      <c r="B925" s="350"/>
      <c r="H925" s="443"/>
    </row>
    <row r="926">
      <c r="A926" s="350"/>
      <c r="B926" s="350"/>
      <c r="H926" s="443"/>
    </row>
    <row r="927">
      <c r="A927" s="350"/>
      <c r="B927" s="350"/>
      <c r="H927" s="443"/>
    </row>
    <row r="928">
      <c r="A928" s="350"/>
      <c r="B928" s="350"/>
      <c r="H928" s="443"/>
    </row>
    <row r="929">
      <c r="A929" s="350"/>
      <c r="B929" s="350"/>
      <c r="H929" s="443"/>
    </row>
    <row r="930">
      <c r="A930" s="350"/>
      <c r="B930" s="350"/>
      <c r="H930" s="443"/>
    </row>
    <row r="931">
      <c r="A931" s="350"/>
      <c r="B931" s="350"/>
      <c r="H931" s="443"/>
    </row>
    <row r="932">
      <c r="A932" s="350"/>
      <c r="B932" s="350"/>
      <c r="H932" s="443"/>
    </row>
    <row r="933">
      <c r="A933" s="350"/>
      <c r="B933" s="350"/>
      <c r="H933" s="443"/>
    </row>
    <row r="934">
      <c r="A934" s="350"/>
      <c r="B934" s="350"/>
      <c r="H934" s="443"/>
    </row>
    <row r="935">
      <c r="A935" s="350"/>
      <c r="B935" s="350"/>
      <c r="H935" s="443"/>
    </row>
    <row r="936">
      <c r="A936" s="350"/>
      <c r="B936" s="350"/>
      <c r="H936" s="443"/>
    </row>
    <row r="937">
      <c r="A937" s="350"/>
      <c r="B937" s="350"/>
      <c r="H937" s="443"/>
    </row>
    <row r="938">
      <c r="A938" s="350"/>
      <c r="B938" s="350"/>
      <c r="H938" s="443"/>
    </row>
    <row r="939">
      <c r="A939" s="350"/>
      <c r="B939" s="350"/>
      <c r="H939" s="443"/>
    </row>
    <row r="940">
      <c r="A940" s="350"/>
      <c r="B940" s="350"/>
      <c r="H940" s="443"/>
    </row>
    <row r="941">
      <c r="A941" s="350"/>
      <c r="B941" s="350"/>
      <c r="H941" s="443"/>
    </row>
    <row r="942">
      <c r="A942" s="350"/>
      <c r="B942" s="350"/>
      <c r="H942" s="443"/>
    </row>
    <row r="943">
      <c r="A943" s="350"/>
      <c r="B943" s="350"/>
      <c r="H943" s="443"/>
    </row>
    <row r="944">
      <c r="A944" s="350"/>
      <c r="B944" s="350"/>
      <c r="H944" s="443"/>
    </row>
    <row r="945">
      <c r="A945" s="350"/>
      <c r="B945" s="350"/>
      <c r="H945" s="443"/>
    </row>
    <row r="946">
      <c r="A946" s="350"/>
      <c r="B946" s="350"/>
      <c r="H946" s="443"/>
    </row>
    <row r="947">
      <c r="A947" s="350"/>
      <c r="B947" s="350"/>
      <c r="H947" s="443"/>
    </row>
    <row r="948">
      <c r="A948" s="350"/>
      <c r="B948" s="350"/>
      <c r="H948" s="443"/>
    </row>
    <row r="949">
      <c r="A949" s="350"/>
      <c r="B949" s="350"/>
      <c r="H949" s="443"/>
    </row>
    <row r="950">
      <c r="A950" s="350"/>
      <c r="B950" s="350"/>
      <c r="H950" s="443"/>
    </row>
    <row r="951">
      <c r="A951" s="350"/>
      <c r="B951" s="350"/>
      <c r="H951" s="443"/>
    </row>
    <row r="952">
      <c r="A952" s="350"/>
      <c r="B952" s="350"/>
      <c r="H952" s="443"/>
    </row>
    <row r="953">
      <c r="A953" s="350"/>
      <c r="B953" s="350"/>
      <c r="H953" s="443"/>
    </row>
    <row r="954">
      <c r="A954" s="350"/>
      <c r="B954" s="350"/>
      <c r="H954" s="443"/>
    </row>
    <row r="955">
      <c r="A955" s="350"/>
      <c r="B955" s="350"/>
      <c r="H955" s="443"/>
    </row>
    <row r="956">
      <c r="A956" s="350"/>
      <c r="B956" s="350"/>
      <c r="H956" s="443"/>
    </row>
    <row r="957">
      <c r="A957" s="350"/>
      <c r="B957" s="350"/>
      <c r="H957" s="443"/>
    </row>
    <row r="958">
      <c r="A958" s="350"/>
      <c r="B958" s="350"/>
      <c r="H958" s="443"/>
    </row>
    <row r="959">
      <c r="A959" s="350"/>
      <c r="B959" s="350"/>
      <c r="H959" s="443"/>
    </row>
    <row r="960">
      <c r="A960" s="350"/>
      <c r="B960" s="350"/>
      <c r="H960" s="443"/>
    </row>
    <row r="961">
      <c r="A961" s="350"/>
      <c r="B961" s="350"/>
      <c r="H961" s="443"/>
    </row>
    <row r="962">
      <c r="A962" s="350"/>
      <c r="B962" s="350"/>
      <c r="H962" s="443"/>
    </row>
    <row r="963">
      <c r="A963" s="350"/>
      <c r="B963" s="350"/>
      <c r="H963" s="443"/>
    </row>
    <row r="964">
      <c r="A964" s="350"/>
      <c r="B964" s="350"/>
      <c r="H964" s="443"/>
    </row>
    <row r="965">
      <c r="A965" s="350"/>
      <c r="B965" s="350"/>
      <c r="H965" s="443"/>
    </row>
    <row r="966">
      <c r="A966" s="350"/>
      <c r="B966" s="350"/>
      <c r="H966" s="443"/>
    </row>
    <row r="967">
      <c r="A967" s="350"/>
      <c r="B967" s="350"/>
      <c r="H967" s="443"/>
    </row>
    <row r="968">
      <c r="A968" s="350"/>
      <c r="B968" s="350"/>
      <c r="H968" s="443"/>
    </row>
    <row r="969">
      <c r="A969" s="350"/>
      <c r="B969" s="350"/>
      <c r="H969" s="443"/>
    </row>
    <row r="970">
      <c r="A970" s="350"/>
      <c r="B970" s="350"/>
      <c r="H970" s="443"/>
    </row>
    <row r="971">
      <c r="A971" s="350"/>
      <c r="B971" s="350"/>
      <c r="H971" s="443"/>
    </row>
    <row r="972">
      <c r="A972" s="350"/>
      <c r="B972" s="350"/>
      <c r="H972" s="443"/>
    </row>
    <row r="973">
      <c r="A973" s="350"/>
      <c r="B973" s="350"/>
      <c r="H973" s="443"/>
    </row>
    <row r="974">
      <c r="A974" s="350"/>
      <c r="B974" s="350"/>
      <c r="H974" s="443"/>
    </row>
    <row r="975">
      <c r="A975" s="350"/>
      <c r="B975" s="350"/>
      <c r="H975" s="443"/>
    </row>
    <row r="976">
      <c r="A976" s="350"/>
      <c r="B976" s="350"/>
      <c r="H976" s="443"/>
    </row>
    <row r="977">
      <c r="A977" s="350"/>
      <c r="B977" s="350"/>
      <c r="H977" s="443"/>
    </row>
    <row r="978">
      <c r="A978" s="350"/>
      <c r="B978" s="350"/>
      <c r="H978" s="443"/>
    </row>
    <row r="979">
      <c r="A979" s="350"/>
      <c r="B979" s="350"/>
      <c r="H979" s="443"/>
    </row>
    <row r="980">
      <c r="A980" s="350"/>
      <c r="B980" s="350"/>
      <c r="H980" s="443"/>
    </row>
    <row r="981">
      <c r="A981" s="350"/>
      <c r="B981" s="350"/>
      <c r="H981" s="443"/>
    </row>
    <row r="982">
      <c r="A982" s="350"/>
      <c r="B982" s="350"/>
      <c r="H982" s="443"/>
    </row>
    <row r="983">
      <c r="A983" s="350"/>
      <c r="B983" s="350"/>
      <c r="H983" s="443"/>
    </row>
    <row r="984">
      <c r="A984" s="350"/>
      <c r="B984" s="350"/>
      <c r="H984" s="443"/>
    </row>
    <row r="985">
      <c r="A985" s="350"/>
      <c r="B985" s="350"/>
      <c r="H985" s="443"/>
    </row>
    <row r="986">
      <c r="A986" s="350"/>
      <c r="B986" s="350"/>
      <c r="H986" s="443"/>
    </row>
    <row r="987">
      <c r="A987" s="350"/>
      <c r="B987" s="350"/>
      <c r="H987" s="443"/>
    </row>
    <row r="988">
      <c r="A988" s="350"/>
      <c r="B988" s="350"/>
      <c r="H988" s="443"/>
    </row>
    <row r="989">
      <c r="A989" s="350"/>
      <c r="B989" s="350"/>
      <c r="H989" s="443"/>
    </row>
    <row r="990">
      <c r="A990" s="350"/>
      <c r="B990" s="350"/>
      <c r="H990" s="443"/>
    </row>
    <row r="991">
      <c r="A991" s="350"/>
      <c r="B991" s="350"/>
      <c r="H991" s="443"/>
    </row>
    <row r="992">
      <c r="A992" s="350"/>
      <c r="B992" s="350"/>
      <c r="H992" s="443"/>
    </row>
    <row r="993">
      <c r="A993" s="350"/>
      <c r="B993" s="350"/>
      <c r="H993" s="443"/>
    </row>
    <row r="994">
      <c r="A994" s="350"/>
      <c r="B994" s="350"/>
      <c r="H994" s="443"/>
    </row>
    <row r="995">
      <c r="A995" s="350"/>
      <c r="B995" s="350"/>
      <c r="H995" s="443"/>
    </row>
    <row r="996">
      <c r="A996" s="350"/>
      <c r="B996" s="350"/>
      <c r="H996" s="443"/>
    </row>
    <row r="997">
      <c r="A997" s="350"/>
      <c r="B997" s="350"/>
      <c r="H997" s="443"/>
    </row>
    <row r="998">
      <c r="A998" s="350"/>
      <c r="B998" s="350"/>
      <c r="H998" s="443"/>
    </row>
    <row r="999">
      <c r="A999" s="350"/>
      <c r="B999" s="350"/>
      <c r="H999" s="443"/>
    </row>
    <row r="1000">
      <c r="A1000" s="350"/>
      <c r="B1000" s="350"/>
      <c r="H1000" s="443"/>
    </row>
    <row r="1001">
      <c r="A1001" s="350"/>
      <c r="B1001" s="350"/>
      <c r="H1001" s="443"/>
    </row>
    <row r="1002">
      <c r="A1002" s="350"/>
      <c r="B1002" s="350"/>
      <c r="H1002" s="443"/>
    </row>
    <row r="1003">
      <c r="A1003" s="350"/>
      <c r="B1003" s="350"/>
      <c r="H1003" s="443"/>
    </row>
    <row r="1004">
      <c r="A1004" s="350"/>
      <c r="B1004" s="350"/>
      <c r="H1004" s="443"/>
    </row>
    <row r="1005">
      <c r="A1005" s="350"/>
      <c r="B1005" s="350"/>
      <c r="H1005" s="443"/>
    </row>
    <row r="1006">
      <c r="A1006" s="350"/>
      <c r="B1006" s="350"/>
      <c r="H1006" s="443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</hyperlinks>
  <drawing r:id="rId19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89"/>
    <col customWidth="1" min="2" max="2" width="6.89"/>
    <col customWidth="1" min="3" max="3" width="35.56"/>
    <col customWidth="1" min="4" max="4" width="54.89"/>
    <col customWidth="1" min="7" max="7" width="23.11"/>
    <col customWidth="1" min="13" max="13" width="24.11"/>
  </cols>
  <sheetData>
    <row r="1">
      <c r="A1" s="405" t="s">
        <v>3</v>
      </c>
      <c r="B1" s="405" t="s">
        <v>1049</v>
      </c>
      <c r="C1" s="405" t="s">
        <v>1050</v>
      </c>
      <c r="D1" s="405" t="s">
        <v>1051</v>
      </c>
      <c r="E1" s="405" t="s">
        <v>1052</v>
      </c>
      <c r="F1" s="405" t="s">
        <v>1053</v>
      </c>
      <c r="G1" s="407" t="s">
        <v>1054</v>
      </c>
    </row>
    <row r="2">
      <c r="A2" s="38">
        <v>46431.0</v>
      </c>
      <c r="B2" s="44">
        <v>1.0</v>
      </c>
      <c r="C2" s="402" t="s">
        <v>1212</v>
      </c>
      <c r="D2" s="190" t="s">
        <v>1530</v>
      </c>
      <c r="E2" s="58"/>
      <c r="F2" s="58"/>
      <c r="G2" s="190" t="s">
        <v>1531</v>
      </c>
      <c r="H2" s="110"/>
    </row>
    <row r="3">
      <c r="A3" s="38">
        <v>46432.0</v>
      </c>
      <c r="B3" s="44">
        <v>2.0</v>
      </c>
      <c r="C3" s="61" t="s">
        <v>1215</v>
      </c>
      <c r="D3" s="190" t="s">
        <v>1532</v>
      </c>
      <c r="E3" s="58"/>
      <c r="F3" s="58"/>
      <c r="G3" s="190" t="s">
        <v>1533</v>
      </c>
      <c r="H3" s="110"/>
      <c r="L3" s="487"/>
      <c r="M3" s="487"/>
      <c r="N3" s="487"/>
      <c r="O3" s="487"/>
    </row>
    <row r="4">
      <c r="A4" s="38">
        <v>46433.0</v>
      </c>
      <c r="B4" s="44">
        <v>3.0</v>
      </c>
      <c r="C4" s="61" t="s">
        <v>1215</v>
      </c>
      <c r="D4" s="190" t="s">
        <v>1532</v>
      </c>
      <c r="E4" s="58"/>
      <c r="F4" s="58"/>
      <c r="G4" s="190" t="s">
        <v>1536</v>
      </c>
      <c r="H4" s="110"/>
    </row>
    <row r="5">
      <c r="A5" s="38">
        <v>46434.0</v>
      </c>
      <c r="B5" s="44">
        <v>4.0</v>
      </c>
      <c r="C5" s="61" t="s">
        <v>1218</v>
      </c>
      <c r="D5" s="190" t="s">
        <v>1537</v>
      </c>
      <c r="E5" s="58"/>
      <c r="F5" s="58"/>
      <c r="G5" s="190" t="s">
        <v>1539</v>
      </c>
      <c r="H5" s="110"/>
    </row>
    <row r="6">
      <c r="A6" s="38">
        <v>46435.0</v>
      </c>
      <c r="B6" s="44">
        <v>5.0</v>
      </c>
      <c r="C6" s="61" t="s">
        <v>1218</v>
      </c>
      <c r="D6" s="190" t="s">
        <v>1537</v>
      </c>
      <c r="E6" s="58"/>
      <c r="F6" s="58"/>
      <c r="G6" s="190" t="s">
        <v>1539</v>
      </c>
      <c r="H6" s="110"/>
      <c r="L6" s="487"/>
      <c r="M6" s="487"/>
      <c r="N6" s="487"/>
      <c r="O6" s="487"/>
    </row>
    <row r="7">
      <c r="A7" s="38">
        <v>46436.0</v>
      </c>
      <c r="B7" s="44">
        <v>6.0</v>
      </c>
      <c r="C7" s="61" t="s">
        <v>1221</v>
      </c>
      <c r="D7" s="190" t="s">
        <v>1541</v>
      </c>
      <c r="E7" s="58"/>
      <c r="F7" s="58"/>
      <c r="G7" s="190" t="s">
        <v>1542</v>
      </c>
      <c r="H7" s="110"/>
    </row>
    <row r="8">
      <c r="A8" s="38">
        <v>46437.0</v>
      </c>
      <c r="B8" s="44">
        <v>7.0</v>
      </c>
      <c r="C8" s="61" t="s">
        <v>1221</v>
      </c>
      <c r="D8" s="190" t="s">
        <v>1541</v>
      </c>
      <c r="E8" s="58"/>
      <c r="F8" s="58"/>
      <c r="G8" s="190" t="s">
        <v>1542</v>
      </c>
      <c r="H8" s="110"/>
      <c r="L8" s="487"/>
      <c r="M8" s="487"/>
      <c r="N8" s="487"/>
      <c r="O8" s="487"/>
    </row>
    <row r="9">
      <c r="A9" s="38">
        <v>46438.0</v>
      </c>
      <c r="B9" s="44">
        <v>8.0</v>
      </c>
      <c r="C9" s="61" t="s">
        <v>1224</v>
      </c>
      <c r="D9" s="190" t="s">
        <v>1543</v>
      </c>
      <c r="E9" s="58"/>
      <c r="F9" s="58"/>
      <c r="G9" s="190" t="s">
        <v>1545</v>
      </c>
      <c r="H9" s="110"/>
    </row>
    <row r="10">
      <c r="A10" s="38">
        <v>46439.0</v>
      </c>
      <c r="B10" s="44">
        <v>9.0</v>
      </c>
      <c r="C10" s="61" t="s">
        <v>1224</v>
      </c>
      <c r="D10" s="190" t="s">
        <v>1547</v>
      </c>
      <c r="E10" s="58"/>
      <c r="F10" s="58"/>
      <c r="G10" s="190" t="s">
        <v>1536</v>
      </c>
      <c r="H10" s="110"/>
    </row>
    <row r="11">
      <c r="A11" s="38">
        <v>46440.0</v>
      </c>
      <c r="B11" s="44">
        <v>10.0</v>
      </c>
      <c r="C11" s="44" t="s">
        <v>1548</v>
      </c>
      <c r="D11" s="190" t="s">
        <v>1549</v>
      </c>
      <c r="E11" s="58"/>
      <c r="F11" s="58"/>
      <c r="G11" s="190" t="s">
        <v>1550</v>
      </c>
      <c r="H11" s="110"/>
      <c r="L11" s="487"/>
      <c r="M11" s="487"/>
      <c r="N11" s="487"/>
      <c r="O11" s="487"/>
    </row>
    <row r="12">
      <c r="A12" s="442"/>
      <c r="B12" s="442"/>
      <c r="G12" s="483"/>
    </row>
    <row r="13">
      <c r="A13" s="442"/>
      <c r="B13" s="442"/>
      <c r="G13" s="483"/>
    </row>
    <row r="14">
      <c r="A14" s="442"/>
      <c r="B14" s="442"/>
      <c r="G14" s="483"/>
    </row>
    <row r="15">
      <c r="A15" s="442"/>
      <c r="B15" s="442"/>
      <c r="C15" s="444"/>
      <c r="D15" s="444"/>
      <c r="E15" s="444"/>
      <c r="F15" s="444"/>
      <c r="G15" s="444"/>
    </row>
    <row r="16">
      <c r="A16" s="442"/>
      <c r="B16" s="442"/>
      <c r="D16" s="488"/>
    </row>
    <row r="17">
      <c r="A17" s="442"/>
      <c r="B17" s="442"/>
      <c r="D17" s="488"/>
    </row>
    <row r="18">
      <c r="A18" s="442"/>
      <c r="B18" s="442"/>
      <c r="D18" s="488"/>
    </row>
    <row r="19">
      <c r="A19" s="442"/>
      <c r="B19" s="442"/>
      <c r="D19" s="488"/>
    </row>
    <row r="20">
      <c r="A20" s="442"/>
      <c r="B20" s="442"/>
      <c r="D20" s="488"/>
    </row>
    <row r="21">
      <c r="A21" s="442"/>
      <c r="B21" s="442"/>
      <c r="D21" s="488"/>
    </row>
    <row r="22">
      <c r="A22" s="442"/>
      <c r="B22" s="442"/>
      <c r="D22" s="488"/>
    </row>
    <row r="23">
      <c r="A23" s="442"/>
      <c r="B23" s="442"/>
      <c r="D23" s="488"/>
    </row>
    <row r="24">
      <c r="A24" s="442"/>
      <c r="B24" s="442"/>
      <c r="D24" s="488"/>
    </row>
    <row r="25">
      <c r="A25" s="442"/>
      <c r="B25" s="442"/>
      <c r="D25" s="488"/>
    </row>
    <row r="26">
      <c r="A26" s="442"/>
      <c r="B26" s="442"/>
      <c r="G26" s="483"/>
    </row>
    <row r="27">
      <c r="A27" s="442"/>
      <c r="B27" s="442"/>
      <c r="G27" s="483"/>
    </row>
    <row r="28">
      <c r="A28" s="442"/>
      <c r="B28" s="442"/>
      <c r="G28" s="483"/>
    </row>
    <row r="29">
      <c r="A29" s="442"/>
      <c r="B29" s="442"/>
      <c r="G29" s="483"/>
    </row>
    <row r="30">
      <c r="A30" s="442"/>
      <c r="B30" s="442"/>
      <c r="G30" s="483"/>
    </row>
    <row r="31">
      <c r="A31" s="442"/>
      <c r="B31" s="442"/>
      <c r="G31" s="483"/>
    </row>
    <row r="32">
      <c r="A32" s="442"/>
      <c r="B32" s="442"/>
      <c r="G32" s="483"/>
    </row>
    <row r="33">
      <c r="A33" s="442"/>
      <c r="B33" s="442"/>
      <c r="G33" s="483"/>
    </row>
    <row r="34">
      <c r="A34" s="442"/>
      <c r="B34" s="442"/>
      <c r="G34" s="483"/>
    </row>
    <row r="35">
      <c r="A35" s="442"/>
      <c r="B35" s="442"/>
      <c r="G35" s="483"/>
    </row>
    <row r="36">
      <c r="A36" s="442"/>
      <c r="B36" s="442"/>
      <c r="G36" s="483"/>
    </row>
    <row r="37">
      <c r="A37" s="442"/>
      <c r="B37" s="442"/>
      <c r="G37" s="483"/>
    </row>
    <row r="38">
      <c r="A38" s="442"/>
      <c r="B38" s="442"/>
      <c r="G38" s="483"/>
    </row>
    <row r="39">
      <c r="A39" s="442"/>
      <c r="B39" s="442"/>
      <c r="G39" s="483"/>
    </row>
    <row r="40">
      <c r="A40" s="442"/>
      <c r="B40" s="442"/>
      <c r="G40" s="483"/>
    </row>
    <row r="41">
      <c r="A41" s="442"/>
      <c r="B41" s="442"/>
      <c r="G41" s="483"/>
    </row>
    <row r="42">
      <c r="A42" s="442"/>
      <c r="B42" s="442"/>
      <c r="G42" s="483"/>
    </row>
    <row r="43">
      <c r="A43" s="442"/>
      <c r="B43" s="442"/>
      <c r="G43" s="483"/>
    </row>
    <row r="44">
      <c r="A44" s="442"/>
      <c r="B44" s="442"/>
      <c r="G44" s="483"/>
    </row>
    <row r="45">
      <c r="A45" s="442"/>
      <c r="B45" s="442"/>
      <c r="G45" s="483"/>
    </row>
    <row r="46">
      <c r="A46" s="442"/>
      <c r="B46" s="442"/>
      <c r="G46" s="483"/>
    </row>
    <row r="47">
      <c r="A47" s="442"/>
      <c r="B47" s="442"/>
      <c r="G47" s="483"/>
    </row>
    <row r="48">
      <c r="A48" s="442"/>
      <c r="B48" s="442"/>
      <c r="G48" s="483"/>
    </row>
    <row r="49">
      <c r="A49" s="442"/>
      <c r="B49" s="442"/>
      <c r="G49" s="483"/>
    </row>
    <row r="50">
      <c r="A50" s="442"/>
      <c r="B50" s="442"/>
      <c r="G50" s="483"/>
    </row>
    <row r="51">
      <c r="A51" s="442"/>
      <c r="B51" s="442"/>
      <c r="G51" s="483"/>
    </row>
    <row r="52">
      <c r="A52" s="442"/>
      <c r="B52" s="442"/>
      <c r="G52" s="483"/>
    </row>
    <row r="53">
      <c r="A53" s="442"/>
      <c r="B53" s="442"/>
      <c r="G53" s="483"/>
    </row>
    <row r="54">
      <c r="A54" s="442"/>
      <c r="B54" s="442"/>
      <c r="G54" s="483"/>
    </row>
    <row r="55">
      <c r="A55" s="442"/>
      <c r="B55" s="442"/>
      <c r="G55" s="483"/>
    </row>
    <row r="56">
      <c r="A56" s="442"/>
      <c r="B56" s="442"/>
      <c r="G56" s="483"/>
    </row>
    <row r="57">
      <c r="A57" s="442"/>
      <c r="B57" s="442"/>
      <c r="G57" s="483"/>
    </row>
    <row r="58">
      <c r="A58" s="442"/>
      <c r="B58" s="442"/>
      <c r="G58" s="483"/>
    </row>
    <row r="59">
      <c r="A59" s="442"/>
      <c r="B59" s="442"/>
      <c r="G59" s="483"/>
    </row>
    <row r="60">
      <c r="A60" s="442"/>
      <c r="B60" s="442"/>
      <c r="G60" s="483"/>
    </row>
    <row r="61">
      <c r="A61" s="442"/>
      <c r="B61" s="442"/>
      <c r="G61" s="483"/>
    </row>
    <row r="62">
      <c r="A62" s="442"/>
      <c r="B62" s="442"/>
      <c r="G62" s="483"/>
    </row>
    <row r="63">
      <c r="A63" s="442"/>
      <c r="B63" s="442"/>
      <c r="G63" s="483"/>
    </row>
    <row r="64">
      <c r="A64" s="442"/>
      <c r="B64" s="442"/>
      <c r="G64" s="483"/>
    </row>
    <row r="65">
      <c r="A65" s="442"/>
      <c r="B65" s="442"/>
      <c r="G65" s="483"/>
    </row>
    <row r="66">
      <c r="A66" s="442"/>
      <c r="B66" s="442"/>
      <c r="G66" s="483"/>
    </row>
    <row r="67">
      <c r="A67" s="442"/>
      <c r="B67" s="442"/>
      <c r="G67" s="483"/>
    </row>
    <row r="68">
      <c r="A68" s="442"/>
      <c r="B68" s="442"/>
      <c r="G68" s="483"/>
    </row>
    <row r="69">
      <c r="A69" s="442"/>
      <c r="B69" s="442"/>
      <c r="G69" s="483"/>
    </row>
    <row r="70">
      <c r="A70" s="442"/>
      <c r="B70" s="442"/>
      <c r="G70" s="483"/>
    </row>
    <row r="71">
      <c r="A71" s="442"/>
      <c r="B71" s="442"/>
      <c r="G71" s="483"/>
    </row>
    <row r="72">
      <c r="A72" s="442"/>
      <c r="B72" s="442"/>
      <c r="G72" s="483"/>
    </row>
    <row r="73">
      <c r="A73" s="442"/>
      <c r="B73" s="442"/>
      <c r="G73" s="483"/>
    </row>
    <row r="74">
      <c r="A74" s="442"/>
      <c r="B74" s="442"/>
      <c r="G74" s="483"/>
    </row>
    <row r="75">
      <c r="A75" s="442"/>
      <c r="B75" s="442"/>
      <c r="G75" s="483"/>
    </row>
    <row r="76">
      <c r="A76" s="442"/>
      <c r="B76" s="442"/>
      <c r="G76" s="483"/>
    </row>
    <row r="77">
      <c r="A77" s="442"/>
      <c r="B77" s="442"/>
      <c r="G77" s="483"/>
    </row>
    <row r="78">
      <c r="A78" s="442"/>
      <c r="B78" s="442"/>
      <c r="G78" s="483"/>
    </row>
    <row r="79">
      <c r="A79" s="442"/>
      <c r="B79" s="442"/>
      <c r="G79" s="483"/>
    </row>
    <row r="80">
      <c r="A80" s="442"/>
      <c r="B80" s="442"/>
      <c r="G80" s="483"/>
    </row>
    <row r="81">
      <c r="A81" s="442"/>
      <c r="B81" s="442"/>
      <c r="G81" s="483"/>
    </row>
    <row r="82">
      <c r="A82" s="442"/>
      <c r="B82" s="442"/>
      <c r="G82" s="483"/>
    </row>
    <row r="83">
      <c r="A83" s="442"/>
      <c r="B83" s="442"/>
      <c r="G83" s="483"/>
    </row>
    <row r="84">
      <c r="A84" s="442"/>
      <c r="B84" s="442"/>
      <c r="G84" s="483"/>
    </row>
    <row r="85">
      <c r="A85" s="442"/>
      <c r="B85" s="442"/>
      <c r="G85" s="483"/>
    </row>
    <row r="86">
      <c r="A86" s="442"/>
      <c r="B86" s="442"/>
      <c r="G86" s="483"/>
    </row>
    <row r="87">
      <c r="A87" s="442"/>
      <c r="B87" s="442"/>
      <c r="G87" s="483"/>
    </row>
    <row r="88">
      <c r="A88" s="442"/>
      <c r="B88" s="442"/>
      <c r="G88" s="483"/>
    </row>
    <row r="89">
      <c r="A89" s="442"/>
      <c r="B89" s="442"/>
      <c r="G89" s="483"/>
    </row>
    <row r="90">
      <c r="A90" s="442"/>
      <c r="B90" s="442"/>
      <c r="G90" s="483"/>
    </row>
    <row r="91">
      <c r="A91" s="442"/>
      <c r="B91" s="442"/>
      <c r="G91" s="483"/>
    </row>
    <row r="92">
      <c r="A92" s="442"/>
      <c r="B92" s="442"/>
      <c r="G92" s="483"/>
    </row>
    <row r="93">
      <c r="A93" s="442"/>
      <c r="B93" s="442"/>
      <c r="G93" s="483"/>
    </row>
    <row r="94">
      <c r="A94" s="442"/>
      <c r="B94" s="442"/>
      <c r="G94" s="483"/>
    </row>
    <row r="95">
      <c r="A95" s="442"/>
      <c r="B95" s="442"/>
      <c r="G95" s="483"/>
    </row>
    <row r="96">
      <c r="A96" s="442"/>
      <c r="B96" s="442"/>
      <c r="G96" s="483"/>
    </row>
    <row r="97">
      <c r="A97" s="442"/>
      <c r="B97" s="442"/>
      <c r="G97" s="483"/>
    </row>
    <row r="98">
      <c r="A98" s="442"/>
      <c r="B98" s="442"/>
      <c r="G98" s="483"/>
    </row>
    <row r="99">
      <c r="A99" s="442"/>
      <c r="B99" s="442"/>
      <c r="G99" s="483"/>
    </row>
    <row r="100">
      <c r="A100" s="442"/>
      <c r="B100" s="442"/>
      <c r="G100" s="483"/>
    </row>
    <row r="101">
      <c r="A101" s="442"/>
      <c r="B101" s="442"/>
      <c r="G101" s="483"/>
    </row>
    <row r="102">
      <c r="A102" s="442"/>
      <c r="B102" s="442"/>
      <c r="G102" s="483"/>
    </row>
    <row r="103">
      <c r="A103" s="442"/>
      <c r="B103" s="442"/>
      <c r="G103" s="483"/>
    </row>
    <row r="104">
      <c r="A104" s="442"/>
      <c r="B104" s="442"/>
      <c r="G104" s="483"/>
    </row>
    <row r="105">
      <c r="A105" s="442"/>
      <c r="B105" s="442"/>
      <c r="G105" s="483"/>
    </row>
    <row r="106">
      <c r="A106" s="442"/>
      <c r="B106" s="442"/>
      <c r="G106" s="483"/>
    </row>
    <row r="107">
      <c r="A107" s="442"/>
      <c r="B107" s="442"/>
      <c r="G107" s="483"/>
    </row>
    <row r="108">
      <c r="A108" s="442"/>
      <c r="B108" s="442"/>
      <c r="G108" s="483"/>
    </row>
    <row r="109">
      <c r="A109" s="442"/>
      <c r="B109" s="442"/>
      <c r="G109" s="483"/>
    </row>
    <row r="110">
      <c r="A110" s="442"/>
      <c r="B110" s="442"/>
      <c r="G110" s="483"/>
    </row>
    <row r="111">
      <c r="A111" s="442"/>
      <c r="B111" s="442"/>
      <c r="G111" s="483"/>
    </row>
    <row r="112">
      <c r="A112" s="442"/>
      <c r="B112" s="442"/>
      <c r="G112" s="483"/>
    </row>
    <row r="113">
      <c r="A113" s="442"/>
      <c r="B113" s="442"/>
      <c r="G113" s="483"/>
    </row>
    <row r="114">
      <c r="A114" s="442"/>
      <c r="B114" s="442"/>
      <c r="G114" s="483"/>
    </row>
    <row r="115">
      <c r="A115" s="442"/>
      <c r="B115" s="442"/>
      <c r="G115" s="483"/>
    </row>
    <row r="116">
      <c r="A116" s="442"/>
      <c r="B116" s="442"/>
      <c r="G116" s="483"/>
    </row>
    <row r="117">
      <c r="A117" s="442"/>
      <c r="B117" s="442"/>
      <c r="G117" s="483"/>
    </row>
    <row r="118">
      <c r="A118" s="442"/>
      <c r="B118" s="442"/>
      <c r="G118" s="483"/>
    </row>
    <row r="119">
      <c r="A119" s="442"/>
      <c r="B119" s="442"/>
      <c r="G119" s="483"/>
    </row>
    <row r="120">
      <c r="A120" s="442"/>
      <c r="B120" s="442"/>
      <c r="G120" s="483"/>
    </row>
    <row r="121">
      <c r="A121" s="442"/>
      <c r="B121" s="442"/>
      <c r="G121" s="483"/>
    </row>
    <row r="122">
      <c r="A122" s="442"/>
      <c r="B122" s="442"/>
      <c r="G122" s="483"/>
    </row>
    <row r="123">
      <c r="A123" s="442"/>
      <c r="B123" s="442"/>
      <c r="G123" s="483"/>
    </row>
    <row r="124">
      <c r="A124" s="442"/>
      <c r="B124" s="442"/>
      <c r="G124" s="483"/>
    </row>
    <row r="125">
      <c r="A125" s="442"/>
      <c r="B125" s="442"/>
      <c r="G125" s="483"/>
    </row>
    <row r="126">
      <c r="A126" s="442"/>
      <c r="B126" s="442"/>
      <c r="G126" s="483"/>
    </row>
    <row r="127">
      <c r="A127" s="442"/>
      <c r="B127" s="442"/>
      <c r="G127" s="483"/>
    </row>
    <row r="128">
      <c r="A128" s="442"/>
      <c r="B128" s="442"/>
      <c r="G128" s="483"/>
    </row>
    <row r="129">
      <c r="A129" s="442"/>
      <c r="B129" s="442"/>
      <c r="G129" s="483"/>
    </row>
    <row r="130">
      <c r="A130" s="442"/>
      <c r="B130" s="442"/>
      <c r="G130" s="483"/>
    </row>
    <row r="131">
      <c r="A131" s="442"/>
      <c r="B131" s="442"/>
      <c r="G131" s="483"/>
    </row>
    <row r="132">
      <c r="A132" s="442"/>
      <c r="B132" s="442"/>
      <c r="G132" s="483"/>
    </row>
    <row r="133">
      <c r="A133" s="442"/>
      <c r="B133" s="442"/>
      <c r="G133" s="483"/>
    </row>
    <row r="134">
      <c r="A134" s="442"/>
      <c r="B134" s="442"/>
      <c r="G134" s="483"/>
    </row>
    <row r="135">
      <c r="A135" s="442"/>
      <c r="B135" s="442"/>
      <c r="G135" s="483"/>
    </row>
    <row r="136">
      <c r="A136" s="442"/>
      <c r="B136" s="442"/>
      <c r="G136" s="483"/>
    </row>
    <row r="137">
      <c r="A137" s="442"/>
      <c r="B137" s="442"/>
      <c r="G137" s="483"/>
    </row>
    <row r="138">
      <c r="A138" s="442"/>
      <c r="B138" s="442"/>
      <c r="G138" s="483"/>
    </row>
    <row r="139">
      <c r="A139" s="442"/>
      <c r="B139" s="442"/>
      <c r="G139" s="483"/>
    </row>
    <row r="140">
      <c r="A140" s="442"/>
      <c r="B140" s="442"/>
      <c r="G140" s="483"/>
    </row>
    <row r="141">
      <c r="A141" s="442"/>
      <c r="B141" s="442"/>
      <c r="G141" s="483"/>
    </row>
    <row r="142">
      <c r="A142" s="442"/>
      <c r="B142" s="442"/>
      <c r="G142" s="483"/>
    </row>
    <row r="143">
      <c r="A143" s="442"/>
      <c r="B143" s="442"/>
      <c r="G143" s="483"/>
    </row>
    <row r="144">
      <c r="A144" s="442"/>
      <c r="B144" s="442"/>
      <c r="G144" s="483"/>
    </row>
    <row r="145">
      <c r="A145" s="442"/>
      <c r="B145" s="442"/>
      <c r="G145" s="483"/>
    </row>
    <row r="146">
      <c r="A146" s="442"/>
      <c r="B146" s="442"/>
      <c r="G146" s="483"/>
    </row>
    <row r="147">
      <c r="A147" s="442"/>
      <c r="B147" s="442"/>
      <c r="G147" s="483"/>
    </row>
    <row r="148">
      <c r="A148" s="442"/>
      <c r="B148" s="442"/>
      <c r="G148" s="483"/>
    </row>
    <row r="149">
      <c r="A149" s="442"/>
      <c r="B149" s="442"/>
      <c r="G149" s="483"/>
    </row>
    <row r="150">
      <c r="A150" s="442"/>
      <c r="B150" s="442"/>
      <c r="G150" s="483"/>
    </row>
    <row r="151">
      <c r="A151" s="442"/>
      <c r="B151" s="442"/>
      <c r="G151" s="483"/>
    </row>
    <row r="152">
      <c r="A152" s="442"/>
      <c r="B152" s="442"/>
      <c r="G152" s="483"/>
    </row>
    <row r="153">
      <c r="A153" s="442"/>
      <c r="B153" s="442"/>
      <c r="G153" s="483"/>
    </row>
    <row r="154">
      <c r="A154" s="442"/>
      <c r="B154" s="442"/>
      <c r="G154" s="483"/>
    </row>
    <row r="155">
      <c r="A155" s="442"/>
      <c r="B155" s="442"/>
      <c r="G155" s="483"/>
    </row>
    <row r="156">
      <c r="A156" s="442"/>
      <c r="B156" s="442"/>
      <c r="G156" s="483"/>
    </row>
    <row r="157">
      <c r="A157" s="442"/>
      <c r="B157" s="442"/>
      <c r="G157" s="483"/>
    </row>
    <row r="158">
      <c r="A158" s="442"/>
      <c r="B158" s="442"/>
      <c r="G158" s="483"/>
    </row>
    <row r="159">
      <c r="A159" s="442"/>
      <c r="B159" s="442"/>
      <c r="G159" s="483"/>
    </row>
    <row r="160">
      <c r="A160" s="442"/>
      <c r="B160" s="442"/>
      <c r="G160" s="483"/>
    </row>
    <row r="161">
      <c r="A161" s="442"/>
      <c r="B161" s="442"/>
      <c r="G161" s="483"/>
    </row>
    <row r="162">
      <c r="A162" s="442"/>
      <c r="B162" s="442"/>
      <c r="G162" s="483"/>
    </row>
    <row r="163">
      <c r="A163" s="442"/>
      <c r="B163" s="442"/>
      <c r="G163" s="483"/>
    </row>
    <row r="164">
      <c r="A164" s="442"/>
      <c r="B164" s="442"/>
      <c r="G164" s="483"/>
    </row>
    <row r="165">
      <c r="A165" s="442"/>
      <c r="B165" s="442"/>
      <c r="G165" s="483"/>
    </row>
    <row r="166">
      <c r="A166" s="442"/>
      <c r="B166" s="442"/>
      <c r="G166" s="483"/>
    </row>
    <row r="167">
      <c r="A167" s="442"/>
      <c r="B167" s="442"/>
      <c r="G167" s="483"/>
    </row>
    <row r="168">
      <c r="A168" s="442"/>
      <c r="B168" s="442"/>
      <c r="G168" s="483"/>
    </row>
    <row r="169">
      <c r="A169" s="442"/>
      <c r="B169" s="442"/>
      <c r="G169" s="483"/>
    </row>
    <row r="170">
      <c r="A170" s="442"/>
      <c r="B170" s="442"/>
      <c r="G170" s="483"/>
    </row>
    <row r="171">
      <c r="A171" s="442"/>
      <c r="B171" s="442"/>
      <c r="G171" s="483"/>
    </row>
    <row r="172">
      <c r="A172" s="442"/>
      <c r="B172" s="442"/>
      <c r="G172" s="483"/>
    </row>
    <row r="173">
      <c r="A173" s="442"/>
      <c r="B173" s="442"/>
      <c r="G173" s="483"/>
    </row>
    <row r="174">
      <c r="A174" s="442"/>
      <c r="B174" s="442"/>
      <c r="G174" s="483"/>
    </row>
    <row r="175">
      <c r="A175" s="442"/>
      <c r="B175" s="442"/>
      <c r="G175" s="483"/>
    </row>
    <row r="176">
      <c r="A176" s="442"/>
      <c r="B176" s="442"/>
      <c r="G176" s="483"/>
    </row>
    <row r="177">
      <c r="A177" s="442"/>
      <c r="B177" s="442"/>
      <c r="G177" s="483"/>
    </row>
    <row r="178">
      <c r="A178" s="442"/>
      <c r="B178" s="442"/>
      <c r="G178" s="483"/>
    </row>
    <row r="179">
      <c r="A179" s="442"/>
      <c r="B179" s="442"/>
      <c r="G179" s="483"/>
    </row>
    <row r="180">
      <c r="A180" s="442"/>
      <c r="B180" s="442"/>
      <c r="G180" s="483"/>
    </row>
    <row r="181">
      <c r="A181" s="442"/>
      <c r="B181" s="442"/>
      <c r="G181" s="483"/>
    </row>
    <row r="182">
      <c r="A182" s="442"/>
      <c r="B182" s="442"/>
      <c r="G182" s="483"/>
    </row>
    <row r="183">
      <c r="A183" s="442"/>
      <c r="B183" s="442"/>
      <c r="G183" s="483"/>
    </row>
    <row r="184">
      <c r="A184" s="442"/>
      <c r="B184" s="442"/>
      <c r="G184" s="483"/>
    </row>
    <row r="185">
      <c r="A185" s="442"/>
      <c r="B185" s="442"/>
      <c r="G185" s="483"/>
    </row>
    <row r="186">
      <c r="A186" s="442"/>
      <c r="B186" s="442"/>
      <c r="G186" s="483"/>
    </row>
    <row r="187">
      <c r="A187" s="442"/>
      <c r="B187" s="442"/>
      <c r="G187" s="483"/>
    </row>
    <row r="188">
      <c r="A188" s="442"/>
      <c r="B188" s="442"/>
      <c r="G188" s="483"/>
    </row>
    <row r="189">
      <c r="A189" s="442"/>
      <c r="B189" s="442"/>
      <c r="G189" s="483"/>
    </row>
    <row r="190">
      <c r="A190" s="442"/>
      <c r="B190" s="442"/>
      <c r="G190" s="483"/>
    </row>
    <row r="191">
      <c r="A191" s="442"/>
      <c r="B191" s="442"/>
      <c r="G191" s="483"/>
    </row>
    <row r="192">
      <c r="A192" s="442"/>
      <c r="B192" s="442"/>
      <c r="G192" s="483"/>
    </row>
    <row r="193">
      <c r="A193" s="442"/>
      <c r="B193" s="442"/>
      <c r="G193" s="483"/>
    </row>
    <row r="194">
      <c r="A194" s="442"/>
      <c r="B194" s="442"/>
      <c r="G194" s="483"/>
    </row>
    <row r="195">
      <c r="A195" s="442"/>
      <c r="B195" s="442"/>
      <c r="G195" s="483"/>
    </row>
    <row r="196">
      <c r="A196" s="442"/>
      <c r="B196" s="442"/>
      <c r="G196" s="483"/>
    </row>
    <row r="197">
      <c r="A197" s="442"/>
      <c r="B197" s="442"/>
      <c r="G197" s="483"/>
    </row>
    <row r="198">
      <c r="A198" s="442"/>
      <c r="B198" s="442"/>
      <c r="G198" s="483"/>
    </row>
    <row r="199">
      <c r="A199" s="442"/>
      <c r="B199" s="442"/>
      <c r="G199" s="483"/>
    </row>
    <row r="200">
      <c r="A200" s="442"/>
      <c r="B200" s="442"/>
      <c r="G200" s="483"/>
    </row>
    <row r="201">
      <c r="A201" s="442"/>
      <c r="B201" s="442"/>
      <c r="G201" s="483"/>
    </row>
    <row r="202">
      <c r="A202" s="442"/>
      <c r="B202" s="442"/>
      <c r="G202" s="483"/>
    </row>
    <row r="203">
      <c r="A203" s="442"/>
      <c r="B203" s="442"/>
      <c r="G203" s="483"/>
    </row>
    <row r="204">
      <c r="A204" s="442"/>
      <c r="B204" s="442"/>
      <c r="G204" s="483"/>
    </row>
    <row r="205">
      <c r="A205" s="442"/>
      <c r="B205" s="442"/>
      <c r="G205" s="483"/>
    </row>
    <row r="206">
      <c r="A206" s="442"/>
      <c r="B206" s="442"/>
      <c r="G206" s="483"/>
    </row>
    <row r="207">
      <c r="A207" s="442"/>
      <c r="B207" s="442"/>
      <c r="G207" s="483"/>
    </row>
    <row r="208">
      <c r="A208" s="442"/>
      <c r="B208" s="442"/>
      <c r="G208" s="483"/>
    </row>
    <row r="209">
      <c r="A209" s="442"/>
      <c r="B209" s="442"/>
      <c r="G209" s="483"/>
    </row>
    <row r="210">
      <c r="A210" s="442"/>
      <c r="B210" s="442"/>
      <c r="G210" s="483"/>
    </row>
    <row r="211">
      <c r="A211" s="442"/>
      <c r="B211" s="442"/>
      <c r="G211" s="483"/>
    </row>
    <row r="212">
      <c r="A212" s="442"/>
      <c r="B212" s="442"/>
      <c r="G212" s="483"/>
    </row>
    <row r="213">
      <c r="A213" s="442"/>
      <c r="B213" s="442"/>
      <c r="G213" s="483"/>
    </row>
    <row r="214">
      <c r="A214" s="442"/>
      <c r="B214" s="442"/>
      <c r="G214" s="483"/>
    </row>
    <row r="215">
      <c r="A215" s="442"/>
      <c r="B215" s="442"/>
      <c r="G215" s="483"/>
    </row>
    <row r="216">
      <c r="A216" s="442"/>
      <c r="B216" s="442"/>
      <c r="G216" s="483"/>
    </row>
    <row r="217">
      <c r="A217" s="442"/>
      <c r="B217" s="442"/>
      <c r="G217" s="483"/>
    </row>
    <row r="218">
      <c r="A218" s="442"/>
      <c r="B218" s="442"/>
      <c r="G218" s="483"/>
    </row>
    <row r="219">
      <c r="A219" s="442"/>
      <c r="B219" s="442"/>
      <c r="G219" s="483"/>
    </row>
    <row r="220">
      <c r="A220" s="442"/>
      <c r="B220" s="442"/>
      <c r="G220" s="483"/>
    </row>
    <row r="221">
      <c r="A221" s="442"/>
      <c r="B221" s="442"/>
      <c r="G221" s="483"/>
    </row>
    <row r="222">
      <c r="A222" s="442"/>
      <c r="B222" s="442"/>
      <c r="G222" s="483"/>
    </row>
    <row r="223">
      <c r="A223" s="442"/>
      <c r="B223" s="442"/>
      <c r="G223" s="483"/>
    </row>
    <row r="224">
      <c r="A224" s="442"/>
      <c r="B224" s="442"/>
      <c r="G224" s="483"/>
    </row>
    <row r="225">
      <c r="A225" s="442"/>
      <c r="B225" s="442"/>
      <c r="G225" s="483"/>
    </row>
    <row r="226">
      <c r="A226" s="442"/>
      <c r="B226" s="442"/>
      <c r="G226" s="483"/>
    </row>
    <row r="227">
      <c r="A227" s="442"/>
      <c r="B227" s="442"/>
      <c r="G227" s="483"/>
    </row>
    <row r="228">
      <c r="A228" s="442"/>
      <c r="B228" s="442"/>
      <c r="G228" s="483"/>
    </row>
    <row r="229">
      <c r="A229" s="442"/>
      <c r="B229" s="442"/>
      <c r="G229" s="483"/>
    </row>
    <row r="230">
      <c r="A230" s="442"/>
      <c r="B230" s="442"/>
      <c r="G230" s="483"/>
    </row>
    <row r="231">
      <c r="A231" s="442"/>
      <c r="B231" s="442"/>
      <c r="G231" s="483"/>
    </row>
    <row r="232">
      <c r="A232" s="442"/>
      <c r="B232" s="442"/>
      <c r="G232" s="483"/>
    </row>
    <row r="233">
      <c r="A233" s="442"/>
      <c r="B233" s="442"/>
      <c r="G233" s="483"/>
    </row>
    <row r="234">
      <c r="A234" s="442"/>
      <c r="B234" s="442"/>
      <c r="G234" s="483"/>
    </row>
    <row r="235">
      <c r="A235" s="442"/>
      <c r="B235" s="442"/>
      <c r="G235" s="483"/>
    </row>
    <row r="236">
      <c r="A236" s="442"/>
      <c r="B236" s="442"/>
      <c r="G236" s="483"/>
    </row>
    <row r="237">
      <c r="A237" s="442"/>
      <c r="B237" s="442"/>
      <c r="G237" s="483"/>
    </row>
    <row r="238">
      <c r="A238" s="442"/>
      <c r="B238" s="442"/>
      <c r="G238" s="483"/>
    </row>
    <row r="239">
      <c r="A239" s="442"/>
      <c r="B239" s="442"/>
      <c r="G239" s="483"/>
    </row>
    <row r="240">
      <c r="A240" s="442"/>
      <c r="B240" s="442"/>
      <c r="G240" s="483"/>
    </row>
    <row r="241">
      <c r="A241" s="442"/>
      <c r="B241" s="442"/>
      <c r="G241" s="483"/>
    </row>
    <row r="242">
      <c r="A242" s="442"/>
      <c r="B242" s="442"/>
      <c r="G242" s="483"/>
    </row>
    <row r="243">
      <c r="A243" s="442"/>
      <c r="B243" s="442"/>
      <c r="G243" s="483"/>
    </row>
    <row r="244">
      <c r="A244" s="442"/>
      <c r="B244" s="442"/>
      <c r="G244" s="483"/>
    </row>
    <row r="245">
      <c r="A245" s="442"/>
      <c r="B245" s="442"/>
      <c r="G245" s="483"/>
    </row>
    <row r="246">
      <c r="A246" s="442"/>
      <c r="B246" s="442"/>
      <c r="G246" s="483"/>
    </row>
    <row r="247">
      <c r="A247" s="442"/>
      <c r="B247" s="442"/>
      <c r="G247" s="483"/>
    </row>
    <row r="248">
      <c r="A248" s="442"/>
      <c r="B248" s="442"/>
      <c r="G248" s="483"/>
    </row>
    <row r="249">
      <c r="A249" s="442"/>
      <c r="B249" s="442"/>
      <c r="G249" s="483"/>
    </row>
    <row r="250">
      <c r="A250" s="442"/>
      <c r="B250" s="442"/>
      <c r="G250" s="483"/>
    </row>
    <row r="251">
      <c r="A251" s="442"/>
      <c r="B251" s="442"/>
      <c r="G251" s="483"/>
    </row>
    <row r="252">
      <c r="A252" s="442"/>
      <c r="B252" s="442"/>
      <c r="G252" s="483"/>
    </row>
    <row r="253">
      <c r="A253" s="442"/>
      <c r="B253" s="442"/>
      <c r="G253" s="483"/>
    </row>
    <row r="254">
      <c r="A254" s="442"/>
      <c r="B254" s="442"/>
      <c r="G254" s="483"/>
    </row>
    <row r="255">
      <c r="A255" s="442"/>
      <c r="B255" s="442"/>
      <c r="G255" s="483"/>
    </row>
    <row r="256">
      <c r="A256" s="442"/>
      <c r="B256" s="442"/>
      <c r="G256" s="483"/>
    </row>
    <row r="257">
      <c r="A257" s="442"/>
      <c r="B257" s="442"/>
      <c r="G257" s="483"/>
    </row>
    <row r="258">
      <c r="A258" s="442"/>
      <c r="B258" s="442"/>
      <c r="G258" s="483"/>
    </row>
    <row r="259">
      <c r="A259" s="442"/>
      <c r="B259" s="442"/>
      <c r="G259" s="483"/>
    </row>
    <row r="260">
      <c r="A260" s="442"/>
      <c r="B260" s="442"/>
      <c r="G260" s="483"/>
    </row>
    <row r="261">
      <c r="A261" s="442"/>
      <c r="B261" s="442"/>
      <c r="G261" s="483"/>
    </row>
    <row r="262">
      <c r="A262" s="442"/>
      <c r="B262" s="442"/>
      <c r="G262" s="483"/>
    </row>
    <row r="263">
      <c r="A263" s="442"/>
      <c r="B263" s="442"/>
      <c r="G263" s="483"/>
    </row>
    <row r="264">
      <c r="A264" s="442"/>
      <c r="B264" s="442"/>
      <c r="G264" s="483"/>
    </row>
    <row r="265">
      <c r="A265" s="442"/>
      <c r="B265" s="442"/>
      <c r="G265" s="483"/>
    </row>
    <row r="266">
      <c r="A266" s="442"/>
      <c r="B266" s="442"/>
      <c r="G266" s="483"/>
    </row>
    <row r="267">
      <c r="A267" s="442"/>
      <c r="B267" s="442"/>
      <c r="G267" s="483"/>
    </row>
    <row r="268">
      <c r="A268" s="442"/>
      <c r="B268" s="442"/>
      <c r="G268" s="483"/>
    </row>
    <row r="269">
      <c r="A269" s="442"/>
      <c r="B269" s="442"/>
      <c r="G269" s="483"/>
    </row>
    <row r="270">
      <c r="A270" s="442"/>
      <c r="B270" s="442"/>
      <c r="G270" s="483"/>
    </row>
    <row r="271">
      <c r="A271" s="442"/>
      <c r="B271" s="442"/>
      <c r="G271" s="483"/>
    </row>
    <row r="272">
      <c r="A272" s="442"/>
      <c r="B272" s="442"/>
      <c r="G272" s="483"/>
    </row>
    <row r="273">
      <c r="A273" s="442"/>
      <c r="B273" s="442"/>
      <c r="G273" s="483"/>
    </row>
    <row r="274">
      <c r="A274" s="442"/>
      <c r="B274" s="442"/>
      <c r="G274" s="483"/>
    </row>
    <row r="275">
      <c r="A275" s="442"/>
      <c r="B275" s="442"/>
      <c r="G275" s="483"/>
    </row>
    <row r="276">
      <c r="A276" s="442"/>
      <c r="B276" s="442"/>
      <c r="G276" s="483"/>
    </row>
    <row r="277">
      <c r="A277" s="442"/>
      <c r="B277" s="442"/>
      <c r="G277" s="483"/>
    </row>
    <row r="278">
      <c r="A278" s="442"/>
      <c r="B278" s="442"/>
      <c r="G278" s="483"/>
    </row>
    <row r="279">
      <c r="A279" s="442"/>
      <c r="B279" s="442"/>
      <c r="G279" s="483"/>
    </row>
    <row r="280">
      <c r="A280" s="442"/>
      <c r="B280" s="442"/>
      <c r="G280" s="483"/>
    </row>
    <row r="281">
      <c r="A281" s="442"/>
      <c r="B281" s="442"/>
      <c r="G281" s="483"/>
    </row>
    <row r="282">
      <c r="A282" s="442"/>
      <c r="B282" s="442"/>
      <c r="G282" s="483"/>
    </row>
    <row r="283">
      <c r="A283" s="442"/>
      <c r="B283" s="442"/>
      <c r="G283" s="483"/>
    </row>
    <row r="284">
      <c r="A284" s="442"/>
      <c r="B284" s="442"/>
      <c r="G284" s="483"/>
    </row>
    <row r="285">
      <c r="A285" s="442"/>
      <c r="B285" s="442"/>
      <c r="G285" s="483"/>
    </row>
    <row r="286">
      <c r="A286" s="442"/>
      <c r="B286" s="442"/>
      <c r="G286" s="483"/>
    </row>
    <row r="287">
      <c r="A287" s="442"/>
      <c r="B287" s="442"/>
      <c r="G287" s="483"/>
    </row>
    <row r="288">
      <c r="A288" s="442"/>
      <c r="B288" s="442"/>
      <c r="G288" s="483"/>
    </row>
    <row r="289">
      <c r="A289" s="442"/>
      <c r="B289" s="442"/>
      <c r="G289" s="483"/>
    </row>
    <row r="290">
      <c r="A290" s="442"/>
      <c r="B290" s="442"/>
      <c r="G290" s="483"/>
    </row>
    <row r="291">
      <c r="A291" s="442"/>
      <c r="B291" s="442"/>
      <c r="G291" s="483"/>
    </row>
    <row r="292">
      <c r="A292" s="442"/>
      <c r="B292" s="442"/>
      <c r="G292" s="483"/>
    </row>
    <row r="293">
      <c r="A293" s="442"/>
      <c r="B293" s="442"/>
      <c r="G293" s="483"/>
    </row>
    <row r="294">
      <c r="A294" s="442"/>
      <c r="B294" s="442"/>
      <c r="G294" s="483"/>
    </row>
    <row r="295">
      <c r="A295" s="442"/>
      <c r="B295" s="442"/>
      <c r="G295" s="483"/>
    </row>
    <row r="296">
      <c r="A296" s="442"/>
      <c r="B296" s="442"/>
      <c r="G296" s="483"/>
    </row>
    <row r="297">
      <c r="A297" s="442"/>
      <c r="B297" s="442"/>
      <c r="G297" s="483"/>
    </row>
    <row r="298">
      <c r="A298" s="442"/>
      <c r="B298" s="442"/>
      <c r="G298" s="483"/>
    </row>
    <row r="299">
      <c r="A299" s="442"/>
      <c r="B299" s="442"/>
      <c r="G299" s="483"/>
    </row>
    <row r="300">
      <c r="A300" s="442"/>
      <c r="B300" s="442"/>
      <c r="G300" s="483"/>
    </row>
    <row r="301">
      <c r="A301" s="442"/>
      <c r="B301" s="442"/>
      <c r="G301" s="483"/>
    </row>
    <row r="302">
      <c r="A302" s="442"/>
      <c r="B302" s="442"/>
      <c r="G302" s="483"/>
    </row>
    <row r="303">
      <c r="A303" s="442"/>
      <c r="B303" s="442"/>
      <c r="G303" s="483"/>
    </row>
    <row r="304">
      <c r="A304" s="442"/>
      <c r="B304" s="442"/>
      <c r="G304" s="483"/>
    </row>
    <row r="305">
      <c r="A305" s="442"/>
      <c r="B305" s="442"/>
      <c r="G305" s="483"/>
    </row>
    <row r="306">
      <c r="A306" s="442"/>
      <c r="B306" s="442"/>
      <c r="G306" s="483"/>
    </row>
    <row r="307">
      <c r="A307" s="442"/>
      <c r="B307" s="442"/>
      <c r="G307" s="483"/>
    </row>
    <row r="308">
      <c r="A308" s="442"/>
      <c r="B308" s="442"/>
      <c r="G308" s="483"/>
    </row>
    <row r="309">
      <c r="A309" s="442"/>
      <c r="B309" s="442"/>
      <c r="G309" s="483"/>
    </row>
    <row r="310">
      <c r="A310" s="442"/>
      <c r="B310" s="442"/>
      <c r="G310" s="483"/>
    </row>
    <row r="311">
      <c r="A311" s="442"/>
      <c r="B311" s="442"/>
      <c r="G311" s="483"/>
    </row>
    <row r="312">
      <c r="A312" s="442"/>
      <c r="B312" s="442"/>
      <c r="G312" s="483"/>
    </row>
    <row r="313">
      <c r="A313" s="442"/>
      <c r="B313" s="442"/>
      <c r="G313" s="483"/>
    </row>
    <row r="314">
      <c r="A314" s="442"/>
      <c r="B314" s="442"/>
      <c r="G314" s="483"/>
    </row>
    <row r="315">
      <c r="A315" s="442"/>
      <c r="B315" s="442"/>
      <c r="G315" s="483"/>
    </row>
    <row r="316">
      <c r="A316" s="442"/>
      <c r="B316" s="442"/>
      <c r="G316" s="483"/>
    </row>
    <row r="317">
      <c r="A317" s="442"/>
      <c r="B317" s="442"/>
      <c r="G317" s="483"/>
    </row>
    <row r="318">
      <c r="A318" s="442"/>
      <c r="B318" s="442"/>
      <c r="G318" s="483"/>
    </row>
    <row r="319">
      <c r="A319" s="442"/>
      <c r="B319" s="442"/>
      <c r="G319" s="483"/>
    </row>
    <row r="320">
      <c r="A320" s="442"/>
      <c r="B320" s="442"/>
      <c r="G320" s="483"/>
    </row>
    <row r="321">
      <c r="A321" s="442"/>
      <c r="B321" s="442"/>
      <c r="G321" s="483"/>
    </row>
    <row r="322">
      <c r="A322" s="442"/>
      <c r="B322" s="442"/>
      <c r="G322" s="483"/>
    </row>
    <row r="323">
      <c r="A323" s="442"/>
      <c r="B323" s="442"/>
      <c r="G323" s="483"/>
    </row>
    <row r="324">
      <c r="A324" s="442"/>
      <c r="B324" s="442"/>
      <c r="G324" s="483"/>
    </row>
    <row r="325">
      <c r="A325" s="442"/>
      <c r="B325" s="442"/>
      <c r="G325" s="483"/>
    </row>
    <row r="326">
      <c r="A326" s="442"/>
      <c r="B326" s="442"/>
      <c r="G326" s="483"/>
    </row>
    <row r="327">
      <c r="A327" s="442"/>
      <c r="B327" s="442"/>
      <c r="G327" s="483"/>
    </row>
    <row r="328">
      <c r="A328" s="442"/>
      <c r="B328" s="442"/>
      <c r="G328" s="483"/>
    </row>
    <row r="329">
      <c r="A329" s="442"/>
      <c r="B329" s="442"/>
      <c r="G329" s="483"/>
    </row>
    <row r="330">
      <c r="A330" s="442"/>
      <c r="B330" s="442"/>
      <c r="G330" s="483"/>
    </row>
    <row r="331">
      <c r="A331" s="442"/>
      <c r="B331" s="442"/>
      <c r="G331" s="483"/>
    </row>
    <row r="332">
      <c r="A332" s="442"/>
      <c r="B332" s="442"/>
      <c r="G332" s="483"/>
    </row>
    <row r="333">
      <c r="A333" s="442"/>
      <c r="B333" s="442"/>
      <c r="G333" s="483"/>
    </row>
    <row r="334">
      <c r="A334" s="442"/>
      <c r="B334" s="442"/>
      <c r="G334" s="483"/>
    </row>
    <row r="335">
      <c r="A335" s="442"/>
      <c r="B335" s="442"/>
      <c r="G335" s="483"/>
    </row>
    <row r="336">
      <c r="A336" s="442"/>
      <c r="B336" s="442"/>
      <c r="G336" s="483"/>
    </row>
    <row r="337">
      <c r="A337" s="442"/>
      <c r="B337" s="442"/>
      <c r="G337" s="483"/>
    </row>
    <row r="338">
      <c r="A338" s="442"/>
      <c r="B338" s="442"/>
      <c r="G338" s="483"/>
    </row>
    <row r="339">
      <c r="A339" s="442"/>
      <c r="B339" s="442"/>
      <c r="G339" s="483"/>
    </row>
    <row r="340">
      <c r="A340" s="442"/>
      <c r="B340" s="442"/>
      <c r="G340" s="483"/>
    </row>
    <row r="341">
      <c r="A341" s="442"/>
      <c r="B341" s="442"/>
      <c r="G341" s="483"/>
    </row>
    <row r="342">
      <c r="A342" s="442"/>
      <c r="B342" s="442"/>
      <c r="G342" s="483"/>
    </row>
    <row r="343">
      <c r="A343" s="442"/>
      <c r="B343" s="442"/>
      <c r="G343" s="483"/>
    </row>
    <row r="344">
      <c r="A344" s="442"/>
      <c r="B344" s="442"/>
      <c r="G344" s="483"/>
    </row>
    <row r="345">
      <c r="A345" s="442"/>
      <c r="B345" s="442"/>
      <c r="G345" s="483"/>
    </row>
    <row r="346">
      <c r="A346" s="442"/>
      <c r="B346" s="442"/>
      <c r="G346" s="483"/>
    </row>
    <row r="347">
      <c r="A347" s="442"/>
      <c r="B347" s="442"/>
      <c r="G347" s="483"/>
    </row>
    <row r="348">
      <c r="A348" s="442"/>
      <c r="B348" s="442"/>
      <c r="G348" s="483"/>
    </row>
    <row r="349">
      <c r="A349" s="442"/>
      <c r="B349" s="442"/>
      <c r="G349" s="483"/>
    </row>
    <row r="350">
      <c r="A350" s="442"/>
      <c r="B350" s="442"/>
      <c r="G350" s="483"/>
    </row>
    <row r="351">
      <c r="A351" s="442"/>
      <c r="B351" s="442"/>
      <c r="G351" s="483"/>
    </row>
    <row r="352">
      <c r="A352" s="442"/>
      <c r="B352" s="442"/>
      <c r="G352" s="483"/>
    </row>
    <row r="353">
      <c r="A353" s="442"/>
      <c r="B353" s="442"/>
      <c r="G353" s="483"/>
    </row>
    <row r="354">
      <c r="A354" s="442"/>
      <c r="B354" s="442"/>
      <c r="G354" s="483"/>
    </row>
    <row r="355">
      <c r="A355" s="442"/>
      <c r="B355" s="442"/>
      <c r="G355" s="483"/>
    </row>
    <row r="356">
      <c r="A356" s="442"/>
      <c r="B356" s="442"/>
      <c r="G356" s="483"/>
    </row>
    <row r="357">
      <c r="A357" s="442"/>
      <c r="B357" s="442"/>
      <c r="G357" s="483"/>
    </row>
    <row r="358">
      <c r="A358" s="442"/>
      <c r="B358" s="442"/>
      <c r="G358" s="483"/>
    </row>
    <row r="359">
      <c r="A359" s="442"/>
      <c r="B359" s="442"/>
      <c r="G359" s="483"/>
    </row>
    <row r="360">
      <c r="A360" s="442"/>
      <c r="B360" s="442"/>
      <c r="G360" s="483"/>
    </row>
    <row r="361">
      <c r="A361" s="442"/>
      <c r="B361" s="442"/>
      <c r="G361" s="483"/>
    </row>
    <row r="362">
      <c r="A362" s="442"/>
      <c r="B362" s="442"/>
      <c r="G362" s="483"/>
    </row>
    <row r="363">
      <c r="A363" s="442"/>
      <c r="B363" s="442"/>
      <c r="G363" s="483"/>
    </row>
    <row r="364">
      <c r="A364" s="442"/>
      <c r="B364" s="442"/>
      <c r="G364" s="483"/>
    </row>
    <row r="365">
      <c r="A365" s="442"/>
      <c r="B365" s="442"/>
      <c r="G365" s="483"/>
    </row>
    <row r="366">
      <c r="A366" s="442"/>
      <c r="B366" s="442"/>
      <c r="G366" s="483"/>
    </row>
    <row r="367">
      <c r="A367" s="442"/>
      <c r="B367" s="442"/>
      <c r="G367" s="483"/>
    </row>
    <row r="368">
      <c r="A368" s="442"/>
      <c r="B368" s="442"/>
      <c r="G368" s="483"/>
    </row>
    <row r="369">
      <c r="A369" s="442"/>
      <c r="B369" s="442"/>
      <c r="G369" s="483"/>
    </row>
    <row r="370">
      <c r="A370" s="442"/>
      <c r="B370" s="442"/>
      <c r="G370" s="483"/>
    </row>
    <row r="371">
      <c r="A371" s="442"/>
      <c r="B371" s="442"/>
      <c r="G371" s="483"/>
    </row>
    <row r="372">
      <c r="A372" s="442"/>
      <c r="B372" s="442"/>
      <c r="G372" s="483"/>
    </row>
    <row r="373">
      <c r="A373" s="442"/>
      <c r="B373" s="442"/>
      <c r="G373" s="483"/>
    </row>
    <row r="374">
      <c r="A374" s="442"/>
      <c r="B374" s="442"/>
      <c r="G374" s="483"/>
    </row>
    <row r="375">
      <c r="A375" s="442"/>
      <c r="B375" s="442"/>
      <c r="G375" s="483"/>
    </row>
    <row r="376">
      <c r="A376" s="442"/>
      <c r="B376" s="442"/>
      <c r="G376" s="483"/>
    </row>
    <row r="377">
      <c r="A377" s="442"/>
      <c r="B377" s="442"/>
      <c r="G377" s="483"/>
    </row>
    <row r="378">
      <c r="A378" s="442"/>
      <c r="B378" s="442"/>
      <c r="G378" s="483"/>
    </row>
    <row r="379">
      <c r="A379" s="442"/>
      <c r="B379" s="442"/>
      <c r="G379" s="483"/>
    </row>
    <row r="380">
      <c r="A380" s="442"/>
      <c r="B380" s="442"/>
      <c r="G380" s="483"/>
    </row>
    <row r="381">
      <c r="A381" s="442"/>
      <c r="B381" s="442"/>
      <c r="G381" s="483"/>
    </row>
    <row r="382">
      <c r="A382" s="442"/>
      <c r="B382" s="442"/>
      <c r="G382" s="483"/>
    </row>
    <row r="383">
      <c r="A383" s="442"/>
      <c r="B383" s="442"/>
      <c r="G383" s="483"/>
    </row>
    <row r="384">
      <c r="A384" s="442"/>
      <c r="B384" s="442"/>
      <c r="G384" s="483"/>
    </row>
    <row r="385">
      <c r="A385" s="442"/>
      <c r="B385" s="442"/>
      <c r="G385" s="483"/>
    </row>
    <row r="386">
      <c r="A386" s="442"/>
      <c r="B386" s="442"/>
      <c r="G386" s="483"/>
    </row>
    <row r="387">
      <c r="A387" s="442"/>
      <c r="B387" s="442"/>
      <c r="G387" s="483"/>
    </row>
    <row r="388">
      <c r="A388" s="442"/>
      <c r="B388" s="442"/>
      <c r="G388" s="483"/>
    </row>
    <row r="389">
      <c r="A389" s="442"/>
      <c r="B389" s="442"/>
      <c r="G389" s="483"/>
    </row>
    <row r="390">
      <c r="A390" s="442"/>
      <c r="B390" s="442"/>
      <c r="G390" s="483"/>
    </row>
    <row r="391">
      <c r="A391" s="442"/>
      <c r="B391" s="442"/>
      <c r="G391" s="483"/>
    </row>
    <row r="392">
      <c r="A392" s="442"/>
      <c r="B392" s="442"/>
      <c r="G392" s="483"/>
    </row>
    <row r="393">
      <c r="A393" s="442"/>
      <c r="B393" s="442"/>
      <c r="G393" s="483"/>
    </row>
    <row r="394">
      <c r="A394" s="442"/>
      <c r="B394" s="442"/>
      <c r="G394" s="483"/>
    </row>
    <row r="395">
      <c r="A395" s="442"/>
      <c r="B395" s="442"/>
      <c r="G395" s="483"/>
    </row>
    <row r="396">
      <c r="A396" s="442"/>
      <c r="B396" s="442"/>
      <c r="G396" s="483"/>
    </row>
    <row r="397">
      <c r="A397" s="442"/>
      <c r="B397" s="442"/>
      <c r="G397" s="483"/>
    </row>
    <row r="398">
      <c r="A398" s="442"/>
      <c r="B398" s="442"/>
      <c r="G398" s="483"/>
    </row>
    <row r="399">
      <c r="A399" s="442"/>
      <c r="B399" s="442"/>
      <c r="G399" s="483"/>
    </row>
    <row r="400">
      <c r="A400" s="442"/>
      <c r="B400" s="442"/>
      <c r="G400" s="483"/>
    </row>
    <row r="401">
      <c r="A401" s="442"/>
      <c r="B401" s="442"/>
      <c r="G401" s="483"/>
    </row>
    <row r="402">
      <c r="A402" s="442"/>
      <c r="B402" s="442"/>
      <c r="G402" s="483"/>
    </row>
    <row r="403">
      <c r="A403" s="442"/>
      <c r="B403" s="442"/>
      <c r="G403" s="483"/>
    </row>
    <row r="404">
      <c r="A404" s="442"/>
      <c r="B404" s="442"/>
      <c r="G404" s="483"/>
    </row>
    <row r="405">
      <c r="A405" s="442"/>
      <c r="B405" s="442"/>
      <c r="G405" s="483"/>
    </row>
    <row r="406">
      <c r="A406" s="442"/>
      <c r="B406" s="442"/>
      <c r="G406" s="483"/>
    </row>
    <row r="407">
      <c r="A407" s="442"/>
      <c r="B407" s="442"/>
      <c r="G407" s="483"/>
    </row>
    <row r="408">
      <c r="A408" s="442"/>
      <c r="B408" s="442"/>
      <c r="G408" s="483"/>
    </row>
    <row r="409">
      <c r="A409" s="442"/>
      <c r="B409" s="442"/>
      <c r="G409" s="483"/>
    </row>
    <row r="410">
      <c r="A410" s="442"/>
      <c r="B410" s="442"/>
      <c r="G410" s="483"/>
    </row>
    <row r="411">
      <c r="A411" s="442"/>
      <c r="B411" s="442"/>
      <c r="G411" s="483"/>
    </row>
    <row r="412">
      <c r="A412" s="442"/>
      <c r="B412" s="442"/>
      <c r="G412" s="483"/>
    </row>
    <row r="413">
      <c r="A413" s="442"/>
      <c r="B413" s="442"/>
      <c r="G413" s="483"/>
    </row>
    <row r="414">
      <c r="A414" s="442"/>
      <c r="B414" s="442"/>
      <c r="G414" s="483"/>
    </row>
    <row r="415">
      <c r="A415" s="442"/>
      <c r="B415" s="442"/>
      <c r="G415" s="483"/>
    </row>
    <row r="416">
      <c r="A416" s="442"/>
      <c r="B416" s="442"/>
      <c r="G416" s="483"/>
    </row>
    <row r="417">
      <c r="A417" s="442"/>
      <c r="B417" s="442"/>
      <c r="G417" s="483"/>
    </row>
    <row r="418">
      <c r="A418" s="442"/>
      <c r="B418" s="442"/>
      <c r="G418" s="483"/>
    </row>
    <row r="419">
      <c r="A419" s="442"/>
      <c r="B419" s="442"/>
      <c r="G419" s="483"/>
    </row>
    <row r="420">
      <c r="A420" s="442"/>
      <c r="B420" s="442"/>
      <c r="G420" s="483"/>
    </row>
    <row r="421">
      <c r="A421" s="442"/>
      <c r="B421" s="442"/>
      <c r="G421" s="483"/>
    </row>
    <row r="422">
      <c r="A422" s="442"/>
      <c r="B422" s="442"/>
      <c r="G422" s="483"/>
    </row>
    <row r="423">
      <c r="A423" s="442"/>
      <c r="B423" s="442"/>
      <c r="G423" s="483"/>
    </row>
    <row r="424">
      <c r="A424" s="442"/>
      <c r="B424" s="442"/>
      <c r="G424" s="483"/>
    </row>
    <row r="425">
      <c r="A425" s="442"/>
      <c r="B425" s="442"/>
      <c r="G425" s="483"/>
    </row>
    <row r="426">
      <c r="A426" s="442"/>
      <c r="B426" s="442"/>
      <c r="G426" s="483"/>
    </row>
    <row r="427">
      <c r="A427" s="442"/>
      <c r="B427" s="442"/>
      <c r="G427" s="483"/>
    </row>
    <row r="428">
      <c r="A428" s="442"/>
      <c r="B428" s="442"/>
      <c r="G428" s="483"/>
    </row>
    <row r="429">
      <c r="A429" s="442"/>
      <c r="B429" s="442"/>
      <c r="G429" s="483"/>
    </row>
    <row r="430">
      <c r="A430" s="442"/>
      <c r="B430" s="442"/>
      <c r="G430" s="483"/>
    </row>
    <row r="431">
      <c r="A431" s="442"/>
      <c r="B431" s="442"/>
      <c r="G431" s="483"/>
    </row>
    <row r="432">
      <c r="A432" s="442"/>
      <c r="B432" s="442"/>
      <c r="G432" s="483"/>
    </row>
    <row r="433">
      <c r="A433" s="442"/>
      <c r="B433" s="442"/>
      <c r="G433" s="483"/>
    </row>
    <row r="434">
      <c r="A434" s="442"/>
      <c r="B434" s="442"/>
      <c r="G434" s="483"/>
    </row>
    <row r="435">
      <c r="A435" s="442"/>
      <c r="B435" s="442"/>
      <c r="G435" s="483"/>
    </row>
    <row r="436">
      <c r="A436" s="442"/>
      <c r="B436" s="442"/>
      <c r="G436" s="483"/>
    </row>
    <row r="437">
      <c r="A437" s="442"/>
      <c r="B437" s="442"/>
      <c r="G437" s="483"/>
    </row>
    <row r="438">
      <c r="A438" s="442"/>
      <c r="B438" s="442"/>
      <c r="G438" s="483"/>
    </row>
    <row r="439">
      <c r="A439" s="442"/>
      <c r="B439" s="442"/>
      <c r="G439" s="483"/>
    </row>
    <row r="440">
      <c r="A440" s="442"/>
      <c r="B440" s="442"/>
      <c r="G440" s="483"/>
    </row>
    <row r="441">
      <c r="A441" s="442"/>
      <c r="B441" s="442"/>
      <c r="G441" s="483"/>
    </row>
    <row r="442">
      <c r="A442" s="442"/>
      <c r="B442" s="442"/>
      <c r="G442" s="483"/>
    </row>
    <row r="443">
      <c r="A443" s="442"/>
      <c r="B443" s="442"/>
      <c r="G443" s="483"/>
    </row>
    <row r="444">
      <c r="A444" s="442"/>
      <c r="B444" s="442"/>
      <c r="G444" s="483"/>
    </row>
    <row r="445">
      <c r="A445" s="442"/>
      <c r="B445" s="442"/>
      <c r="G445" s="483"/>
    </row>
    <row r="446">
      <c r="A446" s="442"/>
      <c r="B446" s="442"/>
      <c r="G446" s="483"/>
    </row>
    <row r="447">
      <c r="A447" s="442"/>
      <c r="B447" s="442"/>
      <c r="G447" s="483"/>
    </row>
    <row r="448">
      <c r="A448" s="442"/>
      <c r="B448" s="442"/>
      <c r="G448" s="483"/>
    </row>
    <row r="449">
      <c r="A449" s="442"/>
      <c r="B449" s="442"/>
      <c r="G449" s="483"/>
    </row>
    <row r="450">
      <c r="A450" s="442"/>
      <c r="B450" s="442"/>
      <c r="G450" s="483"/>
    </row>
    <row r="451">
      <c r="A451" s="442"/>
      <c r="B451" s="442"/>
      <c r="G451" s="483"/>
    </row>
    <row r="452">
      <c r="A452" s="442"/>
      <c r="B452" s="442"/>
      <c r="G452" s="483"/>
    </row>
    <row r="453">
      <c r="A453" s="442"/>
      <c r="B453" s="442"/>
      <c r="G453" s="483"/>
    </row>
    <row r="454">
      <c r="A454" s="442"/>
      <c r="B454" s="442"/>
      <c r="G454" s="483"/>
    </row>
    <row r="455">
      <c r="A455" s="442"/>
      <c r="B455" s="442"/>
      <c r="G455" s="483"/>
    </row>
    <row r="456">
      <c r="A456" s="442"/>
      <c r="B456" s="442"/>
      <c r="G456" s="483"/>
    </row>
    <row r="457">
      <c r="A457" s="442"/>
      <c r="B457" s="442"/>
      <c r="G457" s="483"/>
    </row>
    <row r="458">
      <c r="A458" s="442"/>
      <c r="B458" s="442"/>
      <c r="G458" s="483"/>
    </row>
    <row r="459">
      <c r="A459" s="442"/>
      <c r="B459" s="442"/>
      <c r="G459" s="483"/>
    </row>
    <row r="460">
      <c r="A460" s="442"/>
      <c r="B460" s="442"/>
      <c r="G460" s="483"/>
    </row>
    <row r="461">
      <c r="A461" s="442"/>
      <c r="B461" s="442"/>
      <c r="G461" s="483"/>
    </row>
    <row r="462">
      <c r="A462" s="442"/>
      <c r="B462" s="442"/>
      <c r="G462" s="483"/>
    </row>
    <row r="463">
      <c r="A463" s="442"/>
      <c r="B463" s="442"/>
      <c r="G463" s="483"/>
    </row>
    <row r="464">
      <c r="A464" s="442"/>
      <c r="B464" s="442"/>
      <c r="G464" s="483"/>
    </row>
    <row r="465">
      <c r="A465" s="442"/>
      <c r="B465" s="442"/>
      <c r="G465" s="483"/>
    </row>
    <row r="466">
      <c r="A466" s="442"/>
      <c r="B466" s="442"/>
      <c r="G466" s="483"/>
    </row>
    <row r="467">
      <c r="A467" s="442"/>
      <c r="B467" s="442"/>
      <c r="G467" s="483"/>
    </row>
    <row r="468">
      <c r="A468" s="442"/>
      <c r="B468" s="442"/>
      <c r="G468" s="483"/>
    </row>
    <row r="469">
      <c r="A469" s="442"/>
      <c r="B469" s="442"/>
      <c r="G469" s="483"/>
    </row>
    <row r="470">
      <c r="A470" s="442"/>
      <c r="B470" s="442"/>
      <c r="G470" s="483"/>
    </row>
    <row r="471">
      <c r="A471" s="442"/>
      <c r="B471" s="442"/>
      <c r="G471" s="483"/>
    </row>
    <row r="472">
      <c r="A472" s="442"/>
      <c r="B472" s="442"/>
      <c r="G472" s="483"/>
    </row>
    <row r="473">
      <c r="A473" s="442"/>
      <c r="B473" s="442"/>
      <c r="G473" s="483"/>
    </row>
    <row r="474">
      <c r="A474" s="442"/>
      <c r="B474" s="442"/>
      <c r="G474" s="483"/>
    </row>
    <row r="475">
      <c r="A475" s="442"/>
      <c r="B475" s="442"/>
      <c r="G475" s="483"/>
    </row>
    <row r="476">
      <c r="A476" s="442"/>
      <c r="B476" s="442"/>
      <c r="G476" s="483"/>
    </row>
    <row r="477">
      <c r="A477" s="442"/>
      <c r="B477" s="442"/>
      <c r="G477" s="483"/>
    </row>
    <row r="478">
      <c r="A478" s="442"/>
      <c r="B478" s="442"/>
      <c r="G478" s="483"/>
    </row>
    <row r="479">
      <c r="A479" s="442"/>
      <c r="B479" s="442"/>
      <c r="G479" s="483"/>
    </row>
    <row r="480">
      <c r="A480" s="442"/>
      <c r="B480" s="442"/>
      <c r="G480" s="483"/>
    </row>
    <row r="481">
      <c r="A481" s="442"/>
      <c r="B481" s="442"/>
      <c r="G481" s="483"/>
    </row>
    <row r="482">
      <c r="A482" s="442"/>
      <c r="B482" s="442"/>
      <c r="G482" s="483"/>
    </row>
    <row r="483">
      <c r="A483" s="442"/>
      <c r="B483" s="442"/>
      <c r="G483" s="483"/>
    </row>
    <row r="484">
      <c r="A484" s="442"/>
      <c r="B484" s="442"/>
      <c r="G484" s="483"/>
    </row>
    <row r="485">
      <c r="A485" s="442"/>
      <c r="B485" s="442"/>
      <c r="G485" s="483"/>
    </row>
    <row r="486">
      <c r="A486" s="442"/>
      <c r="B486" s="442"/>
      <c r="G486" s="483"/>
    </row>
    <row r="487">
      <c r="A487" s="442"/>
      <c r="B487" s="442"/>
      <c r="G487" s="483"/>
    </row>
    <row r="488">
      <c r="A488" s="442"/>
      <c r="B488" s="442"/>
      <c r="G488" s="483"/>
    </row>
    <row r="489">
      <c r="A489" s="442"/>
      <c r="B489" s="442"/>
      <c r="G489" s="483"/>
    </row>
    <row r="490">
      <c r="A490" s="442"/>
      <c r="B490" s="442"/>
      <c r="G490" s="483"/>
    </row>
    <row r="491">
      <c r="A491" s="442"/>
      <c r="B491" s="442"/>
      <c r="G491" s="483"/>
    </row>
    <row r="492">
      <c r="A492" s="442"/>
      <c r="B492" s="442"/>
      <c r="G492" s="483"/>
    </row>
    <row r="493">
      <c r="A493" s="442"/>
      <c r="B493" s="442"/>
      <c r="G493" s="483"/>
    </row>
    <row r="494">
      <c r="A494" s="442"/>
      <c r="B494" s="442"/>
      <c r="G494" s="483"/>
    </row>
    <row r="495">
      <c r="A495" s="442"/>
      <c r="B495" s="442"/>
      <c r="G495" s="483"/>
    </row>
    <row r="496">
      <c r="A496" s="442"/>
      <c r="B496" s="442"/>
      <c r="G496" s="483"/>
    </row>
    <row r="497">
      <c r="A497" s="442"/>
      <c r="B497" s="442"/>
      <c r="G497" s="483"/>
    </row>
    <row r="498">
      <c r="A498" s="442"/>
      <c r="B498" s="442"/>
      <c r="G498" s="483"/>
    </row>
    <row r="499">
      <c r="A499" s="442"/>
      <c r="B499" s="442"/>
      <c r="G499" s="483"/>
    </row>
    <row r="500">
      <c r="A500" s="442"/>
      <c r="B500" s="442"/>
      <c r="G500" s="483"/>
    </row>
    <row r="501">
      <c r="A501" s="442"/>
      <c r="B501" s="442"/>
      <c r="G501" s="483"/>
    </row>
    <row r="502">
      <c r="A502" s="442"/>
      <c r="B502" s="442"/>
      <c r="G502" s="483"/>
    </row>
    <row r="503">
      <c r="A503" s="442"/>
      <c r="B503" s="442"/>
      <c r="G503" s="483"/>
    </row>
    <row r="504">
      <c r="A504" s="442"/>
      <c r="B504" s="442"/>
      <c r="G504" s="483"/>
    </row>
    <row r="505">
      <c r="A505" s="442"/>
      <c r="B505" s="442"/>
      <c r="G505" s="483"/>
    </row>
    <row r="506">
      <c r="A506" s="442"/>
      <c r="B506" s="442"/>
      <c r="G506" s="483"/>
    </row>
    <row r="507">
      <c r="A507" s="442"/>
      <c r="B507" s="442"/>
      <c r="G507" s="483"/>
    </row>
    <row r="508">
      <c r="A508" s="442"/>
      <c r="B508" s="442"/>
      <c r="G508" s="483"/>
    </row>
    <row r="509">
      <c r="A509" s="442"/>
      <c r="B509" s="442"/>
      <c r="G509" s="483"/>
    </row>
    <row r="510">
      <c r="A510" s="442"/>
      <c r="B510" s="442"/>
      <c r="G510" s="483"/>
    </row>
    <row r="511">
      <c r="A511" s="442"/>
      <c r="B511" s="442"/>
      <c r="G511" s="483"/>
    </row>
    <row r="512">
      <c r="A512" s="442"/>
      <c r="B512" s="442"/>
      <c r="G512" s="483"/>
    </row>
    <row r="513">
      <c r="A513" s="442"/>
      <c r="B513" s="442"/>
      <c r="G513" s="483"/>
    </row>
    <row r="514">
      <c r="A514" s="442"/>
      <c r="B514" s="442"/>
      <c r="G514" s="483"/>
    </row>
    <row r="515">
      <c r="A515" s="442"/>
      <c r="B515" s="442"/>
      <c r="G515" s="483"/>
    </row>
    <row r="516">
      <c r="A516" s="442"/>
      <c r="B516" s="442"/>
      <c r="G516" s="483"/>
    </row>
    <row r="517">
      <c r="A517" s="442"/>
      <c r="B517" s="442"/>
      <c r="G517" s="483"/>
    </row>
    <row r="518">
      <c r="A518" s="442"/>
      <c r="B518" s="442"/>
      <c r="G518" s="483"/>
    </row>
    <row r="519">
      <c r="A519" s="442"/>
      <c r="B519" s="442"/>
      <c r="G519" s="483"/>
    </row>
    <row r="520">
      <c r="A520" s="442"/>
      <c r="B520" s="442"/>
      <c r="G520" s="483"/>
    </row>
    <row r="521">
      <c r="A521" s="442"/>
      <c r="B521" s="442"/>
      <c r="G521" s="483"/>
    </row>
    <row r="522">
      <c r="A522" s="442"/>
      <c r="B522" s="442"/>
      <c r="G522" s="483"/>
    </row>
    <row r="523">
      <c r="A523" s="442"/>
      <c r="B523" s="442"/>
      <c r="G523" s="483"/>
    </row>
    <row r="524">
      <c r="A524" s="442"/>
      <c r="B524" s="442"/>
      <c r="G524" s="483"/>
    </row>
    <row r="525">
      <c r="A525" s="442"/>
      <c r="B525" s="442"/>
      <c r="G525" s="483"/>
    </row>
    <row r="526">
      <c r="A526" s="442"/>
      <c r="B526" s="442"/>
      <c r="G526" s="483"/>
    </row>
    <row r="527">
      <c r="A527" s="442"/>
      <c r="B527" s="442"/>
      <c r="G527" s="483"/>
    </row>
    <row r="528">
      <c r="A528" s="442"/>
      <c r="B528" s="442"/>
      <c r="G528" s="483"/>
    </row>
    <row r="529">
      <c r="A529" s="442"/>
      <c r="B529" s="442"/>
      <c r="G529" s="483"/>
    </row>
    <row r="530">
      <c r="A530" s="442"/>
      <c r="B530" s="442"/>
      <c r="G530" s="483"/>
    </row>
    <row r="531">
      <c r="A531" s="442"/>
      <c r="B531" s="442"/>
      <c r="G531" s="483"/>
    </row>
    <row r="532">
      <c r="A532" s="442"/>
      <c r="B532" s="442"/>
      <c r="G532" s="483"/>
    </row>
    <row r="533">
      <c r="A533" s="442"/>
      <c r="B533" s="442"/>
      <c r="G533" s="483"/>
    </row>
    <row r="534">
      <c r="A534" s="442"/>
      <c r="B534" s="442"/>
      <c r="G534" s="483"/>
    </row>
    <row r="535">
      <c r="A535" s="442"/>
      <c r="B535" s="442"/>
      <c r="G535" s="483"/>
    </row>
    <row r="536">
      <c r="A536" s="442"/>
      <c r="B536" s="442"/>
      <c r="G536" s="483"/>
    </row>
    <row r="537">
      <c r="A537" s="442"/>
      <c r="B537" s="442"/>
      <c r="G537" s="483"/>
    </row>
    <row r="538">
      <c r="A538" s="442"/>
      <c r="B538" s="442"/>
      <c r="G538" s="483"/>
    </row>
    <row r="539">
      <c r="A539" s="442"/>
      <c r="B539" s="442"/>
      <c r="G539" s="483"/>
    </row>
    <row r="540">
      <c r="A540" s="442"/>
      <c r="B540" s="442"/>
      <c r="G540" s="483"/>
    </row>
    <row r="541">
      <c r="A541" s="442"/>
      <c r="B541" s="442"/>
      <c r="G541" s="483"/>
    </row>
    <row r="542">
      <c r="A542" s="442"/>
      <c r="B542" s="442"/>
      <c r="G542" s="483"/>
    </row>
    <row r="543">
      <c r="A543" s="442"/>
      <c r="B543" s="442"/>
      <c r="G543" s="483"/>
    </row>
    <row r="544">
      <c r="A544" s="442"/>
      <c r="B544" s="442"/>
      <c r="G544" s="483"/>
    </row>
    <row r="545">
      <c r="A545" s="442"/>
      <c r="B545" s="442"/>
      <c r="G545" s="483"/>
    </row>
    <row r="546">
      <c r="A546" s="442"/>
      <c r="B546" s="442"/>
      <c r="G546" s="483"/>
    </row>
    <row r="547">
      <c r="A547" s="442"/>
      <c r="B547" s="442"/>
      <c r="G547" s="483"/>
    </row>
    <row r="548">
      <c r="A548" s="442"/>
      <c r="B548" s="442"/>
      <c r="G548" s="483"/>
    </row>
    <row r="549">
      <c r="A549" s="442"/>
      <c r="B549" s="442"/>
      <c r="G549" s="483"/>
    </row>
    <row r="550">
      <c r="A550" s="442"/>
      <c r="B550" s="442"/>
      <c r="G550" s="483"/>
    </row>
    <row r="551">
      <c r="A551" s="442"/>
      <c r="B551" s="442"/>
      <c r="G551" s="483"/>
    </row>
    <row r="552">
      <c r="A552" s="442"/>
      <c r="B552" s="442"/>
      <c r="G552" s="483"/>
    </row>
    <row r="553">
      <c r="A553" s="442"/>
      <c r="B553" s="442"/>
      <c r="G553" s="483"/>
    </row>
    <row r="554">
      <c r="A554" s="442"/>
      <c r="B554" s="442"/>
      <c r="G554" s="483"/>
    </row>
    <row r="555">
      <c r="A555" s="442"/>
      <c r="B555" s="442"/>
      <c r="G555" s="483"/>
    </row>
    <row r="556">
      <c r="A556" s="442"/>
      <c r="B556" s="442"/>
      <c r="G556" s="483"/>
    </row>
    <row r="557">
      <c r="A557" s="442"/>
      <c r="B557" s="442"/>
      <c r="G557" s="483"/>
    </row>
    <row r="558">
      <c r="A558" s="442"/>
      <c r="B558" s="442"/>
      <c r="G558" s="483"/>
    </row>
    <row r="559">
      <c r="A559" s="442"/>
      <c r="B559" s="442"/>
      <c r="G559" s="483"/>
    </row>
    <row r="560">
      <c r="A560" s="442"/>
      <c r="B560" s="442"/>
      <c r="G560" s="483"/>
    </row>
    <row r="561">
      <c r="A561" s="442"/>
      <c r="B561" s="442"/>
      <c r="G561" s="483"/>
    </row>
    <row r="562">
      <c r="A562" s="442"/>
      <c r="B562" s="442"/>
      <c r="G562" s="483"/>
    </row>
    <row r="563">
      <c r="A563" s="442"/>
      <c r="B563" s="442"/>
      <c r="G563" s="483"/>
    </row>
    <row r="564">
      <c r="A564" s="442"/>
      <c r="B564" s="442"/>
      <c r="G564" s="483"/>
    </row>
    <row r="565">
      <c r="A565" s="442"/>
      <c r="B565" s="442"/>
      <c r="G565" s="483"/>
    </row>
    <row r="566">
      <c r="A566" s="442"/>
      <c r="B566" s="442"/>
      <c r="G566" s="483"/>
    </row>
    <row r="567">
      <c r="A567" s="442"/>
      <c r="B567" s="442"/>
      <c r="G567" s="483"/>
    </row>
    <row r="568">
      <c r="A568" s="442"/>
      <c r="B568" s="442"/>
      <c r="G568" s="483"/>
    </row>
    <row r="569">
      <c r="A569" s="442"/>
      <c r="B569" s="442"/>
      <c r="G569" s="483"/>
    </row>
    <row r="570">
      <c r="A570" s="442"/>
      <c r="B570" s="442"/>
      <c r="G570" s="483"/>
    </row>
    <row r="571">
      <c r="A571" s="442"/>
      <c r="B571" s="442"/>
      <c r="G571" s="483"/>
    </row>
    <row r="572">
      <c r="A572" s="442"/>
      <c r="B572" s="442"/>
      <c r="G572" s="483"/>
    </row>
    <row r="573">
      <c r="A573" s="442"/>
      <c r="B573" s="442"/>
      <c r="G573" s="483"/>
    </row>
    <row r="574">
      <c r="A574" s="442"/>
      <c r="B574" s="442"/>
      <c r="G574" s="483"/>
    </row>
    <row r="575">
      <c r="A575" s="442"/>
      <c r="B575" s="442"/>
      <c r="G575" s="483"/>
    </row>
    <row r="576">
      <c r="A576" s="442"/>
      <c r="B576" s="442"/>
      <c r="G576" s="483"/>
    </row>
    <row r="577">
      <c r="A577" s="442"/>
      <c r="B577" s="442"/>
      <c r="G577" s="483"/>
    </row>
    <row r="578">
      <c r="A578" s="442"/>
      <c r="B578" s="442"/>
      <c r="G578" s="483"/>
    </row>
    <row r="579">
      <c r="A579" s="442"/>
      <c r="B579" s="442"/>
      <c r="G579" s="483"/>
    </row>
    <row r="580">
      <c r="A580" s="442"/>
      <c r="B580" s="442"/>
      <c r="G580" s="483"/>
    </row>
    <row r="581">
      <c r="A581" s="442"/>
      <c r="B581" s="442"/>
      <c r="G581" s="483"/>
    </row>
    <row r="582">
      <c r="A582" s="442"/>
      <c r="B582" s="442"/>
      <c r="G582" s="483"/>
    </row>
    <row r="583">
      <c r="A583" s="442"/>
      <c r="B583" s="442"/>
      <c r="G583" s="483"/>
    </row>
    <row r="584">
      <c r="A584" s="442"/>
      <c r="B584" s="442"/>
      <c r="G584" s="483"/>
    </row>
    <row r="585">
      <c r="A585" s="442"/>
      <c r="B585" s="442"/>
      <c r="G585" s="483"/>
    </row>
    <row r="586">
      <c r="A586" s="442"/>
      <c r="B586" s="442"/>
      <c r="G586" s="483"/>
    </row>
    <row r="587">
      <c r="A587" s="442"/>
      <c r="B587" s="442"/>
      <c r="G587" s="483"/>
    </row>
    <row r="588">
      <c r="A588" s="442"/>
      <c r="B588" s="442"/>
      <c r="G588" s="483"/>
    </row>
    <row r="589">
      <c r="A589" s="442"/>
      <c r="B589" s="442"/>
      <c r="G589" s="483"/>
    </row>
    <row r="590">
      <c r="A590" s="442"/>
      <c r="B590" s="442"/>
      <c r="G590" s="483"/>
    </row>
    <row r="591">
      <c r="A591" s="442"/>
      <c r="B591" s="442"/>
      <c r="G591" s="483"/>
    </row>
    <row r="592">
      <c r="A592" s="442"/>
      <c r="B592" s="442"/>
      <c r="G592" s="483"/>
    </row>
    <row r="593">
      <c r="A593" s="442"/>
      <c r="B593" s="442"/>
      <c r="G593" s="483"/>
    </row>
    <row r="594">
      <c r="A594" s="442"/>
      <c r="B594" s="442"/>
      <c r="G594" s="483"/>
    </row>
    <row r="595">
      <c r="A595" s="442"/>
      <c r="B595" s="442"/>
      <c r="G595" s="483"/>
    </row>
    <row r="596">
      <c r="A596" s="442"/>
      <c r="B596" s="442"/>
      <c r="G596" s="483"/>
    </row>
    <row r="597">
      <c r="A597" s="442"/>
      <c r="B597" s="442"/>
      <c r="G597" s="483"/>
    </row>
    <row r="598">
      <c r="A598" s="442"/>
      <c r="B598" s="442"/>
      <c r="G598" s="483"/>
    </row>
    <row r="599">
      <c r="A599" s="442"/>
      <c r="B599" s="442"/>
      <c r="G599" s="483"/>
    </row>
    <row r="600">
      <c r="A600" s="442"/>
      <c r="B600" s="442"/>
      <c r="G600" s="483"/>
    </row>
    <row r="601">
      <c r="A601" s="442"/>
      <c r="B601" s="442"/>
      <c r="G601" s="483"/>
    </row>
    <row r="602">
      <c r="A602" s="442"/>
      <c r="B602" s="442"/>
      <c r="G602" s="483"/>
    </row>
    <row r="603">
      <c r="A603" s="442"/>
      <c r="B603" s="442"/>
      <c r="G603" s="483"/>
    </row>
    <row r="604">
      <c r="A604" s="442"/>
      <c r="B604" s="442"/>
      <c r="G604" s="483"/>
    </row>
    <row r="605">
      <c r="A605" s="442"/>
      <c r="B605" s="442"/>
      <c r="G605" s="483"/>
    </row>
    <row r="606">
      <c r="A606" s="442"/>
      <c r="B606" s="442"/>
      <c r="G606" s="483"/>
    </row>
    <row r="607">
      <c r="A607" s="442"/>
      <c r="B607" s="442"/>
      <c r="G607" s="483"/>
    </row>
    <row r="608">
      <c r="A608" s="442"/>
      <c r="B608" s="442"/>
      <c r="G608" s="483"/>
    </row>
    <row r="609">
      <c r="A609" s="442"/>
      <c r="B609" s="442"/>
      <c r="G609" s="483"/>
    </row>
    <row r="610">
      <c r="A610" s="442"/>
      <c r="B610" s="442"/>
      <c r="G610" s="483"/>
    </row>
    <row r="611">
      <c r="A611" s="442"/>
      <c r="B611" s="442"/>
      <c r="G611" s="483"/>
    </row>
    <row r="612">
      <c r="A612" s="442"/>
      <c r="B612" s="442"/>
      <c r="G612" s="483"/>
    </row>
    <row r="613">
      <c r="A613" s="442"/>
      <c r="B613" s="442"/>
      <c r="G613" s="483"/>
    </row>
    <row r="614">
      <c r="A614" s="442"/>
      <c r="B614" s="442"/>
      <c r="G614" s="483"/>
    </row>
    <row r="615">
      <c r="A615" s="442"/>
      <c r="B615" s="442"/>
      <c r="G615" s="483"/>
    </row>
    <row r="616">
      <c r="A616" s="442"/>
      <c r="B616" s="442"/>
      <c r="G616" s="483"/>
    </row>
    <row r="617">
      <c r="A617" s="442"/>
      <c r="B617" s="442"/>
      <c r="G617" s="483"/>
    </row>
    <row r="618">
      <c r="A618" s="442"/>
      <c r="B618" s="442"/>
      <c r="G618" s="483"/>
    </row>
    <row r="619">
      <c r="A619" s="442"/>
      <c r="B619" s="442"/>
      <c r="G619" s="483"/>
    </row>
    <row r="620">
      <c r="A620" s="442"/>
      <c r="B620" s="442"/>
      <c r="G620" s="483"/>
    </row>
    <row r="621">
      <c r="A621" s="442"/>
      <c r="B621" s="442"/>
      <c r="G621" s="483"/>
    </row>
    <row r="622">
      <c r="A622" s="442"/>
      <c r="B622" s="442"/>
      <c r="G622" s="483"/>
    </row>
    <row r="623">
      <c r="A623" s="442"/>
      <c r="B623" s="442"/>
      <c r="G623" s="483"/>
    </row>
    <row r="624">
      <c r="A624" s="442"/>
      <c r="B624" s="442"/>
      <c r="G624" s="483"/>
    </row>
    <row r="625">
      <c r="A625" s="442"/>
      <c r="B625" s="442"/>
      <c r="G625" s="483"/>
    </row>
    <row r="626">
      <c r="A626" s="442"/>
      <c r="B626" s="442"/>
      <c r="G626" s="483"/>
    </row>
    <row r="627">
      <c r="A627" s="442"/>
      <c r="B627" s="442"/>
      <c r="G627" s="483"/>
    </row>
    <row r="628">
      <c r="A628" s="442"/>
      <c r="B628" s="442"/>
      <c r="G628" s="483"/>
    </row>
    <row r="629">
      <c r="A629" s="442"/>
      <c r="B629" s="442"/>
      <c r="G629" s="483"/>
    </row>
    <row r="630">
      <c r="A630" s="442"/>
      <c r="B630" s="442"/>
      <c r="G630" s="483"/>
    </row>
    <row r="631">
      <c r="A631" s="442"/>
      <c r="B631" s="442"/>
      <c r="G631" s="483"/>
    </row>
    <row r="632">
      <c r="A632" s="442"/>
      <c r="B632" s="442"/>
      <c r="G632" s="483"/>
    </row>
    <row r="633">
      <c r="A633" s="442"/>
      <c r="B633" s="442"/>
      <c r="G633" s="483"/>
    </row>
    <row r="634">
      <c r="A634" s="442"/>
      <c r="B634" s="442"/>
      <c r="G634" s="483"/>
    </row>
    <row r="635">
      <c r="A635" s="442"/>
      <c r="B635" s="442"/>
      <c r="G635" s="483"/>
    </row>
    <row r="636">
      <c r="A636" s="442"/>
      <c r="B636" s="442"/>
      <c r="G636" s="483"/>
    </row>
    <row r="637">
      <c r="A637" s="442"/>
      <c r="B637" s="442"/>
      <c r="G637" s="483"/>
    </row>
    <row r="638">
      <c r="A638" s="442"/>
      <c r="B638" s="442"/>
      <c r="G638" s="483"/>
    </row>
    <row r="639">
      <c r="A639" s="442"/>
      <c r="B639" s="442"/>
      <c r="G639" s="483"/>
    </row>
    <row r="640">
      <c r="A640" s="442"/>
      <c r="B640" s="442"/>
      <c r="G640" s="483"/>
    </row>
    <row r="641">
      <c r="A641" s="442"/>
      <c r="B641" s="442"/>
      <c r="G641" s="483"/>
    </row>
    <row r="642">
      <c r="A642" s="442"/>
      <c r="B642" s="442"/>
      <c r="G642" s="483"/>
    </row>
    <row r="643">
      <c r="A643" s="442"/>
      <c r="B643" s="442"/>
      <c r="G643" s="483"/>
    </row>
    <row r="644">
      <c r="A644" s="442"/>
      <c r="B644" s="442"/>
      <c r="G644" s="483"/>
    </row>
    <row r="645">
      <c r="A645" s="442"/>
      <c r="B645" s="442"/>
      <c r="G645" s="483"/>
    </row>
    <row r="646">
      <c r="A646" s="442"/>
      <c r="B646" s="442"/>
      <c r="G646" s="483"/>
    </row>
    <row r="647">
      <c r="A647" s="442"/>
      <c r="B647" s="442"/>
      <c r="G647" s="483"/>
    </row>
    <row r="648">
      <c r="A648" s="442"/>
      <c r="B648" s="442"/>
      <c r="G648" s="483"/>
    </row>
    <row r="649">
      <c r="A649" s="442"/>
      <c r="B649" s="442"/>
      <c r="G649" s="483"/>
    </row>
    <row r="650">
      <c r="A650" s="442"/>
      <c r="B650" s="442"/>
      <c r="G650" s="483"/>
    </row>
    <row r="651">
      <c r="A651" s="442"/>
      <c r="B651" s="442"/>
      <c r="G651" s="483"/>
    </row>
    <row r="652">
      <c r="A652" s="442"/>
      <c r="B652" s="442"/>
      <c r="G652" s="483"/>
    </row>
    <row r="653">
      <c r="A653" s="442"/>
      <c r="B653" s="442"/>
      <c r="G653" s="483"/>
    </row>
    <row r="654">
      <c r="A654" s="442"/>
      <c r="B654" s="442"/>
      <c r="G654" s="483"/>
    </row>
    <row r="655">
      <c r="A655" s="442"/>
      <c r="B655" s="442"/>
      <c r="G655" s="483"/>
    </row>
    <row r="656">
      <c r="A656" s="442"/>
      <c r="B656" s="442"/>
      <c r="G656" s="483"/>
    </row>
    <row r="657">
      <c r="A657" s="442"/>
      <c r="B657" s="442"/>
      <c r="G657" s="483"/>
    </row>
    <row r="658">
      <c r="A658" s="442"/>
      <c r="B658" s="442"/>
      <c r="G658" s="483"/>
    </row>
    <row r="659">
      <c r="A659" s="442"/>
      <c r="B659" s="442"/>
      <c r="G659" s="483"/>
    </row>
    <row r="660">
      <c r="A660" s="442"/>
      <c r="B660" s="442"/>
      <c r="G660" s="483"/>
    </row>
    <row r="661">
      <c r="A661" s="442"/>
      <c r="B661" s="442"/>
      <c r="G661" s="483"/>
    </row>
    <row r="662">
      <c r="A662" s="442"/>
      <c r="B662" s="442"/>
      <c r="G662" s="483"/>
    </row>
    <row r="663">
      <c r="A663" s="442"/>
      <c r="B663" s="442"/>
      <c r="G663" s="483"/>
    </row>
    <row r="664">
      <c r="A664" s="442"/>
      <c r="B664" s="442"/>
      <c r="G664" s="483"/>
    </row>
    <row r="665">
      <c r="A665" s="442"/>
      <c r="B665" s="442"/>
      <c r="G665" s="483"/>
    </row>
    <row r="666">
      <c r="A666" s="442"/>
      <c r="B666" s="442"/>
      <c r="G666" s="483"/>
    </row>
    <row r="667">
      <c r="A667" s="442"/>
      <c r="B667" s="442"/>
      <c r="G667" s="483"/>
    </row>
    <row r="668">
      <c r="A668" s="442"/>
      <c r="B668" s="442"/>
      <c r="G668" s="483"/>
    </row>
    <row r="669">
      <c r="A669" s="442"/>
      <c r="B669" s="442"/>
      <c r="G669" s="483"/>
    </row>
    <row r="670">
      <c r="A670" s="442"/>
      <c r="B670" s="442"/>
      <c r="G670" s="483"/>
    </row>
    <row r="671">
      <c r="A671" s="442"/>
      <c r="B671" s="442"/>
      <c r="G671" s="483"/>
    </row>
    <row r="672">
      <c r="A672" s="442"/>
      <c r="B672" s="442"/>
      <c r="G672" s="483"/>
    </row>
    <row r="673">
      <c r="A673" s="442"/>
      <c r="B673" s="442"/>
      <c r="G673" s="483"/>
    </row>
    <row r="674">
      <c r="A674" s="442"/>
      <c r="B674" s="442"/>
      <c r="G674" s="483"/>
    </row>
    <row r="675">
      <c r="A675" s="442"/>
      <c r="B675" s="442"/>
      <c r="G675" s="483"/>
    </row>
    <row r="676">
      <c r="A676" s="442"/>
      <c r="B676" s="442"/>
      <c r="G676" s="483"/>
    </row>
    <row r="677">
      <c r="A677" s="442"/>
      <c r="B677" s="442"/>
      <c r="G677" s="483"/>
    </row>
    <row r="678">
      <c r="A678" s="442"/>
      <c r="B678" s="442"/>
      <c r="G678" s="483"/>
    </row>
    <row r="679">
      <c r="A679" s="442"/>
      <c r="B679" s="442"/>
      <c r="G679" s="483"/>
    </row>
    <row r="680">
      <c r="A680" s="442"/>
      <c r="B680" s="442"/>
      <c r="G680" s="483"/>
    </row>
    <row r="681">
      <c r="A681" s="442"/>
      <c r="B681" s="442"/>
      <c r="G681" s="483"/>
    </row>
    <row r="682">
      <c r="A682" s="442"/>
      <c r="B682" s="442"/>
      <c r="G682" s="483"/>
    </row>
    <row r="683">
      <c r="A683" s="442"/>
      <c r="B683" s="442"/>
      <c r="G683" s="483"/>
    </row>
    <row r="684">
      <c r="A684" s="442"/>
      <c r="B684" s="442"/>
      <c r="G684" s="483"/>
    </row>
    <row r="685">
      <c r="A685" s="442"/>
      <c r="B685" s="442"/>
      <c r="G685" s="483"/>
    </row>
    <row r="686">
      <c r="A686" s="442"/>
      <c r="B686" s="442"/>
      <c r="G686" s="483"/>
    </row>
    <row r="687">
      <c r="A687" s="442"/>
      <c r="B687" s="442"/>
      <c r="G687" s="483"/>
    </row>
    <row r="688">
      <c r="A688" s="442"/>
      <c r="B688" s="442"/>
      <c r="G688" s="483"/>
    </row>
    <row r="689">
      <c r="A689" s="442"/>
      <c r="B689" s="442"/>
      <c r="G689" s="483"/>
    </row>
    <row r="690">
      <c r="A690" s="442"/>
      <c r="B690" s="442"/>
      <c r="G690" s="483"/>
    </row>
    <row r="691">
      <c r="A691" s="442"/>
      <c r="B691" s="442"/>
      <c r="G691" s="483"/>
    </row>
    <row r="692">
      <c r="A692" s="442"/>
      <c r="B692" s="442"/>
      <c r="G692" s="483"/>
    </row>
    <row r="693">
      <c r="A693" s="442"/>
      <c r="B693" s="442"/>
      <c r="G693" s="483"/>
    </row>
    <row r="694">
      <c r="A694" s="442"/>
      <c r="B694" s="442"/>
      <c r="G694" s="483"/>
    </row>
    <row r="695">
      <c r="A695" s="442"/>
      <c r="B695" s="442"/>
      <c r="G695" s="483"/>
    </row>
    <row r="696">
      <c r="A696" s="442"/>
      <c r="B696" s="442"/>
      <c r="G696" s="483"/>
    </row>
    <row r="697">
      <c r="A697" s="442"/>
      <c r="B697" s="442"/>
      <c r="G697" s="483"/>
    </row>
    <row r="698">
      <c r="A698" s="442"/>
      <c r="B698" s="442"/>
      <c r="G698" s="483"/>
    </row>
    <row r="699">
      <c r="A699" s="442"/>
      <c r="B699" s="442"/>
      <c r="G699" s="483"/>
    </row>
    <row r="700">
      <c r="A700" s="442"/>
      <c r="B700" s="442"/>
      <c r="G700" s="483"/>
    </row>
    <row r="701">
      <c r="A701" s="442"/>
      <c r="B701" s="442"/>
      <c r="G701" s="483"/>
    </row>
    <row r="702">
      <c r="A702" s="442"/>
      <c r="B702" s="442"/>
      <c r="G702" s="483"/>
    </row>
    <row r="703">
      <c r="A703" s="442"/>
      <c r="B703" s="442"/>
      <c r="G703" s="483"/>
    </row>
    <row r="704">
      <c r="A704" s="442"/>
      <c r="B704" s="442"/>
      <c r="G704" s="483"/>
    </row>
    <row r="705">
      <c r="A705" s="442"/>
      <c r="B705" s="442"/>
      <c r="G705" s="483"/>
    </row>
    <row r="706">
      <c r="A706" s="442"/>
      <c r="B706" s="442"/>
      <c r="G706" s="483"/>
    </row>
    <row r="707">
      <c r="A707" s="442"/>
      <c r="B707" s="442"/>
      <c r="G707" s="483"/>
    </row>
    <row r="708">
      <c r="A708" s="442"/>
      <c r="B708" s="442"/>
      <c r="G708" s="483"/>
    </row>
    <row r="709">
      <c r="A709" s="442"/>
      <c r="B709" s="442"/>
      <c r="G709" s="483"/>
    </row>
    <row r="710">
      <c r="A710" s="442"/>
      <c r="B710" s="442"/>
      <c r="G710" s="483"/>
    </row>
    <row r="711">
      <c r="A711" s="442"/>
      <c r="B711" s="442"/>
      <c r="G711" s="483"/>
    </row>
    <row r="712">
      <c r="A712" s="442"/>
      <c r="B712" s="442"/>
      <c r="G712" s="483"/>
    </row>
    <row r="713">
      <c r="A713" s="442"/>
      <c r="B713" s="442"/>
      <c r="G713" s="483"/>
    </row>
    <row r="714">
      <c r="A714" s="442"/>
      <c r="B714" s="442"/>
      <c r="G714" s="483"/>
    </row>
    <row r="715">
      <c r="A715" s="442"/>
      <c r="B715" s="442"/>
      <c r="G715" s="483"/>
    </row>
    <row r="716">
      <c r="A716" s="442"/>
      <c r="B716" s="442"/>
      <c r="G716" s="483"/>
    </row>
    <row r="717">
      <c r="A717" s="442"/>
      <c r="B717" s="442"/>
      <c r="G717" s="483"/>
    </row>
    <row r="718">
      <c r="A718" s="442"/>
      <c r="B718" s="442"/>
      <c r="G718" s="483"/>
    </row>
    <row r="719">
      <c r="A719" s="442"/>
      <c r="B719" s="442"/>
      <c r="G719" s="483"/>
    </row>
    <row r="720">
      <c r="A720" s="442"/>
      <c r="B720" s="442"/>
      <c r="G720" s="483"/>
    </row>
    <row r="721">
      <c r="A721" s="442"/>
      <c r="B721" s="442"/>
      <c r="G721" s="483"/>
    </row>
    <row r="722">
      <c r="A722" s="442"/>
      <c r="B722" s="442"/>
      <c r="G722" s="483"/>
    </row>
    <row r="723">
      <c r="A723" s="442"/>
      <c r="B723" s="442"/>
      <c r="G723" s="483"/>
    </row>
    <row r="724">
      <c r="A724" s="442"/>
      <c r="B724" s="442"/>
      <c r="G724" s="483"/>
    </row>
    <row r="725">
      <c r="A725" s="442"/>
      <c r="B725" s="442"/>
      <c r="G725" s="483"/>
    </row>
    <row r="726">
      <c r="A726" s="442"/>
      <c r="B726" s="442"/>
      <c r="G726" s="483"/>
    </row>
    <row r="727">
      <c r="A727" s="442"/>
      <c r="B727" s="442"/>
      <c r="G727" s="483"/>
    </row>
    <row r="728">
      <c r="A728" s="442"/>
      <c r="B728" s="442"/>
      <c r="G728" s="483"/>
    </row>
    <row r="729">
      <c r="A729" s="442"/>
      <c r="B729" s="442"/>
      <c r="G729" s="483"/>
    </row>
    <row r="730">
      <c r="A730" s="442"/>
      <c r="B730" s="442"/>
      <c r="G730" s="483"/>
    </row>
    <row r="731">
      <c r="A731" s="442"/>
      <c r="B731" s="442"/>
      <c r="G731" s="483"/>
    </row>
    <row r="732">
      <c r="A732" s="442"/>
      <c r="B732" s="442"/>
      <c r="G732" s="483"/>
    </row>
    <row r="733">
      <c r="A733" s="442"/>
      <c r="B733" s="442"/>
      <c r="G733" s="483"/>
    </row>
    <row r="734">
      <c r="A734" s="442"/>
      <c r="B734" s="442"/>
      <c r="G734" s="483"/>
    </row>
    <row r="735">
      <c r="A735" s="442"/>
      <c r="B735" s="442"/>
      <c r="G735" s="483"/>
    </row>
    <row r="736">
      <c r="A736" s="442"/>
      <c r="B736" s="442"/>
      <c r="G736" s="483"/>
    </row>
    <row r="737">
      <c r="A737" s="442"/>
      <c r="B737" s="442"/>
      <c r="G737" s="483"/>
    </row>
    <row r="738">
      <c r="A738" s="442"/>
      <c r="B738" s="442"/>
      <c r="G738" s="483"/>
    </row>
    <row r="739">
      <c r="A739" s="442"/>
      <c r="B739" s="442"/>
      <c r="G739" s="483"/>
    </row>
    <row r="740">
      <c r="A740" s="442"/>
      <c r="B740" s="442"/>
      <c r="G740" s="483"/>
    </row>
    <row r="741">
      <c r="A741" s="442"/>
      <c r="B741" s="442"/>
      <c r="G741" s="483"/>
    </row>
    <row r="742">
      <c r="A742" s="442"/>
      <c r="B742" s="442"/>
      <c r="G742" s="483"/>
    </row>
    <row r="743">
      <c r="A743" s="442"/>
      <c r="B743" s="442"/>
      <c r="G743" s="483"/>
    </row>
    <row r="744">
      <c r="A744" s="442"/>
      <c r="B744" s="442"/>
      <c r="G744" s="483"/>
    </row>
    <row r="745">
      <c r="A745" s="442"/>
      <c r="B745" s="442"/>
      <c r="G745" s="483"/>
    </row>
    <row r="746">
      <c r="A746" s="442"/>
      <c r="B746" s="442"/>
      <c r="G746" s="483"/>
    </row>
    <row r="747">
      <c r="A747" s="442"/>
      <c r="B747" s="442"/>
      <c r="G747" s="483"/>
    </row>
    <row r="748">
      <c r="A748" s="442"/>
      <c r="B748" s="442"/>
      <c r="G748" s="483"/>
    </row>
    <row r="749">
      <c r="A749" s="442"/>
      <c r="B749" s="442"/>
      <c r="G749" s="483"/>
    </row>
    <row r="750">
      <c r="A750" s="442"/>
      <c r="B750" s="442"/>
      <c r="G750" s="483"/>
    </row>
    <row r="751">
      <c r="A751" s="442"/>
      <c r="B751" s="442"/>
      <c r="G751" s="483"/>
    </row>
    <row r="752">
      <c r="A752" s="442"/>
      <c r="B752" s="442"/>
      <c r="G752" s="483"/>
    </row>
    <row r="753">
      <c r="A753" s="442"/>
      <c r="B753" s="442"/>
      <c r="G753" s="483"/>
    </row>
    <row r="754">
      <c r="A754" s="442"/>
      <c r="B754" s="442"/>
      <c r="G754" s="483"/>
    </row>
    <row r="755">
      <c r="A755" s="442"/>
      <c r="B755" s="442"/>
      <c r="G755" s="483"/>
    </row>
    <row r="756">
      <c r="A756" s="442"/>
      <c r="B756" s="442"/>
      <c r="G756" s="483"/>
    </row>
    <row r="757">
      <c r="A757" s="442"/>
      <c r="B757" s="442"/>
      <c r="G757" s="483"/>
    </row>
    <row r="758">
      <c r="A758" s="442"/>
      <c r="B758" s="442"/>
      <c r="G758" s="483"/>
    </row>
    <row r="759">
      <c r="A759" s="442"/>
      <c r="B759" s="442"/>
      <c r="G759" s="483"/>
    </row>
    <row r="760">
      <c r="A760" s="442"/>
      <c r="B760" s="442"/>
      <c r="G760" s="483"/>
    </row>
    <row r="761">
      <c r="A761" s="442"/>
      <c r="B761" s="442"/>
      <c r="G761" s="483"/>
    </row>
    <row r="762">
      <c r="A762" s="442"/>
      <c r="B762" s="442"/>
      <c r="G762" s="483"/>
    </row>
    <row r="763">
      <c r="A763" s="442"/>
      <c r="B763" s="442"/>
      <c r="G763" s="483"/>
    </row>
    <row r="764">
      <c r="A764" s="442"/>
      <c r="B764" s="442"/>
      <c r="G764" s="483"/>
    </row>
    <row r="765">
      <c r="A765" s="442"/>
      <c r="B765" s="442"/>
      <c r="G765" s="483"/>
    </row>
    <row r="766">
      <c r="A766" s="442"/>
      <c r="B766" s="442"/>
      <c r="G766" s="483"/>
    </row>
    <row r="767">
      <c r="A767" s="442"/>
      <c r="B767" s="442"/>
      <c r="G767" s="483"/>
    </row>
    <row r="768">
      <c r="A768" s="442"/>
      <c r="B768" s="442"/>
      <c r="G768" s="483"/>
    </row>
    <row r="769">
      <c r="A769" s="442"/>
      <c r="B769" s="442"/>
      <c r="G769" s="483"/>
    </row>
    <row r="770">
      <c r="A770" s="442"/>
      <c r="B770" s="442"/>
      <c r="G770" s="483"/>
    </row>
    <row r="771">
      <c r="A771" s="442"/>
      <c r="B771" s="442"/>
      <c r="G771" s="483"/>
    </row>
    <row r="772">
      <c r="A772" s="442"/>
      <c r="B772" s="442"/>
      <c r="G772" s="483"/>
    </row>
    <row r="773">
      <c r="A773" s="442"/>
      <c r="B773" s="442"/>
      <c r="G773" s="483"/>
    </row>
    <row r="774">
      <c r="A774" s="442"/>
      <c r="B774" s="442"/>
      <c r="G774" s="483"/>
    </row>
    <row r="775">
      <c r="A775" s="442"/>
      <c r="B775" s="442"/>
      <c r="G775" s="483"/>
    </row>
    <row r="776">
      <c r="A776" s="442"/>
      <c r="B776" s="442"/>
      <c r="G776" s="483"/>
    </row>
    <row r="777">
      <c r="A777" s="442"/>
      <c r="B777" s="442"/>
      <c r="G777" s="483"/>
    </row>
    <row r="778">
      <c r="A778" s="442"/>
      <c r="B778" s="442"/>
      <c r="G778" s="483"/>
    </row>
    <row r="779">
      <c r="A779" s="442"/>
      <c r="B779" s="442"/>
      <c r="G779" s="483"/>
    </row>
    <row r="780">
      <c r="A780" s="442"/>
      <c r="B780" s="442"/>
      <c r="G780" s="483"/>
    </row>
    <row r="781">
      <c r="A781" s="442"/>
      <c r="B781" s="442"/>
      <c r="G781" s="483"/>
    </row>
    <row r="782">
      <c r="A782" s="442"/>
      <c r="B782" s="442"/>
      <c r="G782" s="483"/>
    </row>
    <row r="783">
      <c r="A783" s="442"/>
      <c r="B783" s="442"/>
      <c r="G783" s="483"/>
    </row>
    <row r="784">
      <c r="A784" s="442"/>
      <c r="B784" s="442"/>
      <c r="G784" s="483"/>
    </row>
    <row r="785">
      <c r="A785" s="442"/>
      <c r="B785" s="442"/>
      <c r="G785" s="483"/>
    </row>
    <row r="786">
      <c r="A786" s="442"/>
      <c r="B786" s="442"/>
      <c r="G786" s="483"/>
    </row>
    <row r="787">
      <c r="A787" s="442"/>
      <c r="B787" s="442"/>
      <c r="G787" s="483"/>
    </row>
    <row r="788">
      <c r="A788" s="442"/>
      <c r="B788" s="442"/>
      <c r="G788" s="483"/>
    </row>
    <row r="789">
      <c r="A789" s="442"/>
      <c r="B789" s="442"/>
      <c r="G789" s="483"/>
    </row>
    <row r="790">
      <c r="A790" s="442"/>
      <c r="B790" s="442"/>
      <c r="G790" s="483"/>
    </row>
    <row r="791">
      <c r="A791" s="442"/>
      <c r="B791" s="442"/>
      <c r="G791" s="483"/>
    </row>
    <row r="792">
      <c r="A792" s="442"/>
      <c r="B792" s="442"/>
      <c r="G792" s="483"/>
    </row>
    <row r="793">
      <c r="A793" s="442"/>
      <c r="B793" s="442"/>
      <c r="G793" s="483"/>
    </row>
    <row r="794">
      <c r="A794" s="442"/>
      <c r="B794" s="442"/>
      <c r="G794" s="483"/>
    </row>
    <row r="795">
      <c r="A795" s="442"/>
      <c r="B795" s="442"/>
      <c r="G795" s="483"/>
    </row>
    <row r="796">
      <c r="A796" s="442"/>
      <c r="B796" s="442"/>
      <c r="G796" s="483"/>
    </row>
    <row r="797">
      <c r="A797" s="442"/>
      <c r="B797" s="442"/>
      <c r="G797" s="483"/>
    </row>
    <row r="798">
      <c r="A798" s="442"/>
      <c r="B798" s="442"/>
      <c r="G798" s="483"/>
    </row>
    <row r="799">
      <c r="A799" s="442"/>
      <c r="B799" s="442"/>
      <c r="G799" s="483"/>
    </row>
    <row r="800">
      <c r="A800" s="442"/>
      <c r="B800" s="442"/>
      <c r="G800" s="483"/>
    </row>
    <row r="801">
      <c r="A801" s="442"/>
      <c r="B801" s="442"/>
      <c r="G801" s="483"/>
    </row>
    <row r="802">
      <c r="A802" s="442"/>
      <c r="B802" s="442"/>
      <c r="G802" s="483"/>
    </row>
    <row r="803">
      <c r="A803" s="442"/>
      <c r="B803" s="442"/>
      <c r="G803" s="483"/>
    </row>
    <row r="804">
      <c r="A804" s="442"/>
      <c r="B804" s="442"/>
      <c r="G804" s="483"/>
    </row>
    <row r="805">
      <c r="A805" s="442"/>
      <c r="B805" s="442"/>
      <c r="G805" s="483"/>
    </row>
    <row r="806">
      <c r="A806" s="442"/>
      <c r="B806" s="442"/>
      <c r="G806" s="483"/>
    </row>
    <row r="807">
      <c r="A807" s="442"/>
      <c r="B807" s="442"/>
      <c r="G807" s="483"/>
    </row>
    <row r="808">
      <c r="A808" s="442"/>
      <c r="B808" s="442"/>
      <c r="G808" s="483"/>
    </row>
    <row r="809">
      <c r="A809" s="442"/>
      <c r="B809" s="442"/>
      <c r="G809" s="483"/>
    </row>
    <row r="810">
      <c r="A810" s="442"/>
      <c r="B810" s="442"/>
      <c r="G810" s="483"/>
    </row>
    <row r="811">
      <c r="A811" s="442"/>
      <c r="B811" s="442"/>
      <c r="G811" s="483"/>
    </row>
    <row r="812">
      <c r="A812" s="442"/>
      <c r="B812" s="442"/>
      <c r="G812" s="483"/>
    </row>
    <row r="813">
      <c r="A813" s="442"/>
      <c r="B813" s="442"/>
      <c r="G813" s="483"/>
    </row>
    <row r="814">
      <c r="A814" s="442"/>
      <c r="B814" s="442"/>
      <c r="G814" s="483"/>
    </row>
    <row r="815">
      <c r="A815" s="442"/>
      <c r="B815" s="442"/>
      <c r="G815" s="483"/>
    </row>
    <row r="816">
      <c r="A816" s="442"/>
      <c r="B816" s="442"/>
      <c r="G816" s="483"/>
    </row>
    <row r="817">
      <c r="A817" s="442"/>
      <c r="B817" s="442"/>
      <c r="G817" s="483"/>
    </row>
    <row r="818">
      <c r="A818" s="442"/>
      <c r="B818" s="442"/>
      <c r="G818" s="483"/>
    </row>
    <row r="819">
      <c r="A819" s="442"/>
      <c r="B819" s="442"/>
      <c r="G819" s="483"/>
    </row>
    <row r="820">
      <c r="A820" s="442"/>
      <c r="B820" s="442"/>
      <c r="G820" s="483"/>
    </row>
    <row r="821">
      <c r="A821" s="442"/>
      <c r="B821" s="442"/>
      <c r="G821" s="483"/>
    </row>
    <row r="822">
      <c r="A822" s="442"/>
      <c r="B822" s="442"/>
      <c r="G822" s="483"/>
    </row>
    <row r="823">
      <c r="A823" s="442"/>
      <c r="B823" s="442"/>
      <c r="G823" s="483"/>
    </row>
    <row r="824">
      <c r="A824" s="442"/>
      <c r="B824" s="442"/>
      <c r="G824" s="483"/>
    </row>
    <row r="825">
      <c r="A825" s="442"/>
      <c r="B825" s="442"/>
      <c r="G825" s="483"/>
    </row>
    <row r="826">
      <c r="A826" s="442"/>
      <c r="B826" s="442"/>
      <c r="G826" s="483"/>
    </row>
    <row r="827">
      <c r="A827" s="442"/>
      <c r="B827" s="442"/>
      <c r="G827" s="483"/>
    </row>
    <row r="828">
      <c r="A828" s="442"/>
      <c r="B828" s="442"/>
      <c r="G828" s="483"/>
    </row>
    <row r="829">
      <c r="A829" s="442"/>
      <c r="B829" s="442"/>
      <c r="G829" s="483"/>
    </row>
    <row r="830">
      <c r="A830" s="442"/>
      <c r="B830" s="442"/>
      <c r="G830" s="483"/>
    </row>
    <row r="831">
      <c r="A831" s="442"/>
      <c r="B831" s="442"/>
      <c r="G831" s="483"/>
    </row>
    <row r="832">
      <c r="A832" s="442"/>
      <c r="B832" s="442"/>
      <c r="G832" s="483"/>
    </row>
    <row r="833">
      <c r="A833" s="442"/>
      <c r="B833" s="442"/>
      <c r="G833" s="483"/>
    </row>
    <row r="834">
      <c r="A834" s="442"/>
      <c r="B834" s="442"/>
      <c r="G834" s="483"/>
    </row>
    <row r="835">
      <c r="A835" s="442"/>
      <c r="B835" s="442"/>
      <c r="G835" s="483"/>
    </row>
    <row r="836">
      <c r="A836" s="442"/>
      <c r="B836" s="442"/>
      <c r="G836" s="483"/>
    </row>
    <row r="837">
      <c r="A837" s="442"/>
      <c r="B837" s="442"/>
      <c r="G837" s="483"/>
    </row>
    <row r="838">
      <c r="A838" s="442"/>
      <c r="B838" s="442"/>
      <c r="G838" s="483"/>
    </row>
    <row r="839">
      <c r="A839" s="442"/>
      <c r="B839" s="442"/>
      <c r="G839" s="483"/>
    </row>
    <row r="840">
      <c r="A840" s="442"/>
      <c r="B840" s="442"/>
      <c r="G840" s="483"/>
    </row>
    <row r="841">
      <c r="A841" s="442"/>
      <c r="B841" s="442"/>
      <c r="G841" s="483"/>
    </row>
    <row r="842">
      <c r="A842" s="442"/>
      <c r="B842" s="442"/>
      <c r="G842" s="483"/>
    </row>
    <row r="843">
      <c r="A843" s="442"/>
      <c r="B843" s="442"/>
      <c r="G843" s="483"/>
    </row>
    <row r="844">
      <c r="A844" s="442"/>
      <c r="B844" s="442"/>
      <c r="G844" s="483"/>
    </row>
    <row r="845">
      <c r="A845" s="442"/>
      <c r="B845" s="442"/>
      <c r="G845" s="483"/>
    </row>
    <row r="846">
      <c r="A846" s="442"/>
      <c r="B846" s="442"/>
      <c r="G846" s="483"/>
    </row>
    <row r="847">
      <c r="A847" s="442"/>
      <c r="B847" s="442"/>
      <c r="G847" s="483"/>
    </row>
    <row r="848">
      <c r="A848" s="442"/>
      <c r="B848" s="442"/>
      <c r="G848" s="483"/>
    </row>
    <row r="849">
      <c r="A849" s="442"/>
      <c r="B849" s="442"/>
      <c r="G849" s="483"/>
    </row>
    <row r="850">
      <c r="A850" s="442"/>
      <c r="B850" s="442"/>
      <c r="G850" s="483"/>
    </row>
    <row r="851">
      <c r="A851" s="442"/>
      <c r="B851" s="442"/>
      <c r="G851" s="483"/>
    </row>
    <row r="852">
      <c r="A852" s="442"/>
      <c r="B852" s="442"/>
      <c r="G852" s="483"/>
    </row>
    <row r="853">
      <c r="A853" s="442"/>
      <c r="B853" s="442"/>
      <c r="G853" s="483"/>
    </row>
    <row r="854">
      <c r="A854" s="442"/>
      <c r="B854" s="442"/>
      <c r="G854" s="483"/>
    </row>
    <row r="855">
      <c r="A855" s="442"/>
      <c r="B855" s="442"/>
      <c r="G855" s="483"/>
    </row>
    <row r="856">
      <c r="A856" s="442"/>
      <c r="B856" s="442"/>
      <c r="G856" s="483"/>
    </row>
    <row r="857">
      <c r="A857" s="442"/>
      <c r="B857" s="442"/>
      <c r="G857" s="483"/>
    </row>
    <row r="858">
      <c r="A858" s="442"/>
      <c r="B858" s="442"/>
      <c r="G858" s="483"/>
    </row>
    <row r="859">
      <c r="A859" s="442"/>
      <c r="B859" s="442"/>
      <c r="G859" s="483"/>
    </row>
    <row r="860">
      <c r="A860" s="442"/>
      <c r="B860" s="442"/>
      <c r="G860" s="483"/>
    </row>
    <row r="861">
      <c r="A861" s="442"/>
      <c r="B861" s="442"/>
      <c r="G861" s="483"/>
    </row>
    <row r="862">
      <c r="A862" s="442"/>
      <c r="B862" s="442"/>
      <c r="G862" s="483"/>
    </row>
    <row r="863">
      <c r="A863" s="442"/>
      <c r="B863" s="442"/>
      <c r="G863" s="483"/>
    </row>
    <row r="864">
      <c r="A864" s="442"/>
      <c r="B864" s="442"/>
      <c r="G864" s="483"/>
    </row>
    <row r="865">
      <c r="A865" s="442"/>
      <c r="B865" s="442"/>
      <c r="G865" s="483"/>
    </row>
    <row r="866">
      <c r="A866" s="442"/>
      <c r="B866" s="442"/>
      <c r="G866" s="483"/>
    </row>
    <row r="867">
      <c r="A867" s="442"/>
      <c r="B867" s="442"/>
      <c r="G867" s="483"/>
    </row>
    <row r="868">
      <c r="A868" s="442"/>
      <c r="B868" s="442"/>
      <c r="G868" s="483"/>
    </row>
    <row r="869">
      <c r="A869" s="442"/>
      <c r="B869" s="442"/>
      <c r="G869" s="483"/>
    </row>
    <row r="870">
      <c r="A870" s="442"/>
      <c r="B870" s="442"/>
      <c r="G870" s="483"/>
    </row>
    <row r="871">
      <c r="A871" s="442"/>
      <c r="B871" s="442"/>
      <c r="G871" s="483"/>
    </row>
    <row r="872">
      <c r="A872" s="442"/>
      <c r="B872" s="442"/>
      <c r="G872" s="483"/>
    </row>
    <row r="873">
      <c r="A873" s="442"/>
      <c r="B873" s="442"/>
      <c r="G873" s="483"/>
    </row>
    <row r="874">
      <c r="A874" s="442"/>
      <c r="B874" s="442"/>
      <c r="G874" s="483"/>
    </row>
    <row r="875">
      <c r="A875" s="442"/>
      <c r="B875" s="442"/>
      <c r="G875" s="483"/>
    </row>
    <row r="876">
      <c r="A876" s="442"/>
      <c r="B876" s="442"/>
      <c r="G876" s="483"/>
    </row>
    <row r="877">
      <c r="A877" s="442"/>
      <c r="B877" s="442"/>
      <c r="G877" s="483"/>
    </row>
    <row r="878">
      <c r="A878" s="442"/>
      <c r="B878" s="442"/>
      <c r="G878" s="483"/>
    </row>
    <row r="879">
      <c r="A879" s="442"/>
      <c r="B879" s="442"/>
      <c r="G879" s="483"/>
    </row>
    <row r="880">
      <c r="A880" s="442"/>
      <c r="B880" s="442"/>
      <c r="G880" s="483"/>
    </row>
    <row r="881">
      <c r="A881" s="442"/>
      <c r="B881" s="442"/>
      <c r="G881" s="483"/>
    </row>
    <row r="882">
      <c r="A882" s="442"/>
      <c r="B882" s="442"/>
      <c r="G882" s="483"/>
    </row>
    <row r="883">
      <c r="A883" s="442"/>
      <c r="B883" s="442"/>
      <c r="G883" s="483"/>
    </row>
    <row r="884">
      <c r="A884" s="442"/>
      <c r="B884" s="442"/>
      <c r="G884" s="483"/>
    </row>
    <row r="885">
      <c r="A885" s="442"/>
      <c r="B885" s="442"/>
      <c r="G885" s="483"/>
    </row>
    <row r="886">
      <c r="A886" s="442"/>
      <c r="B886" s="442"/>
      <c r="G886" s="483"/>
    </row>
    <row r="887">
      <c r="A887" s="442"/>
      <c r="B887" s="442"/>
      <c r="G887" s="483"/>
    </row>
    <row r="888">
      <c r="A888" s="442"/>
      <c r="B888" s="442"/>
      <c r="G888" s="483"/>
    </row>
    <row r="889">
      <c r="A889" s="442"/>
      <c r="B889" s="442"/>
      <c r="G889" s="483"/>
    </row>
    <row r="890">
      <c r="A890" s="442"/>
      <c r="B890" s="442"/>
      <c r="G890" s="483"/>
    </row>
    <row r="891">
      <c r="A891" s="442"/>
      <c r="B891" s="442"/>
      <c r="G891" s="483"/>
    </row>
    <row r="892">
      <c r="A892" s="442"/>
      <c r="B892" s="442"/>
      <c r="G892" s="483"/>
    </row>
    <row r="893">
      <c r="A893" s="442"/>
      <c r="B893" s="442"/>
      <c r="G893" s="483"/>
    </row>
    <row r="894">
      <c r="A894" s="442"/>
      <c r="B894" s="442"/>
      <c r="G894" s="483"/>
    </row>
    <row r="895">
      <c r="A895" s="442"/>
      <c r="B895" s="442"/>
      <c r="G895" s="483"/>
    </row>
    <row r="896">
      <c r="A896" s="442"/>
      <c r="B896" s="442"/>
      <c r="G896" s="483"/>
    </row>
    <row r="897">
      <c r="A897" s="442"/>
      <c r="B897" s="442"/>
      <c r="G897" s="483"/>
    </row>
    <row r="898">
      <c r="A898" s="442"/>
      <c r="B898" s="442"/>
      <c r="G898" s="483"/>
    </row>
    <row r="899">
      <c r="A899" s="442"/>
      <c r="B899" s="442"/>
      <c r="G899" s="483"/>
    </row>
    <row r="900">
      <c r="A900" s="442"/>
      <c r="B900" s="442"/>
      <c r="G900" s="483"/>
    </row>
    <row r="901">
      <c r="A901" s="442"/>
      <c r="B901" s="442"/>
      <c r="G901" s="483"/>
    </row>
    <row r="902">
      <c r="A902" s="442"/>
      <c r="B902" s="442"/>
      <c r="G902" s="483"/>
    </row>
    <row r="903">
      <c r="A903" s="442"/>
      <c r="B903" s="442"/>
      <c r="G903" s="483"/>
    </row>
    <row r="904">
      <c r="A904" s="442"/>
      <c r="B904" s="442"/>
      <c r="G904" s="483"/>
    </row>
    <row r="905">
      <c r="A905" s="442"/>
      <c r="B905" s="442"/>
      <c r="G905" s="483"/>
    </row>
    <row r="906">
      <c r="A906" s="442"/>
      <c r="B906" s="442"/>
      <c r="G906" s="483"/>
    </row>
    <row r="907">
      <c r="A907" s="442"/>
      <c r="B907" s="442"/>
      <c r="G907" s="483"/>
    </row>
    <row r="908">
      <c r="A908" s="442"/>
      <c r="B908" s="442"/>
      <c r="G908" s="483"/>
    </row>
    <row r="909">
      <c r="A909" s="442"/>
      <c r="B909" s="442"/>
      <c r="G909" s="483"/>
    </row>
  </sheetData>
  <drawing r:id="rId1"/>
</worksheet>
</file>